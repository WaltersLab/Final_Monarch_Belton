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vi\Downloads\"/>
    </mc:Choice>
  </mc:AlternateContent>
  <xr:revisionPtr revIDLastSave="0" documentId="13_ncr:1_{F7B40783-A191-42B9-B21F-2474B9BAC5ED}" xr6:coauthVersionLast="47" xr6:coauthVersionMax="47" xr10:uidLastSave="{00000000-0000-0000-0000-000000000000}"/>
  <bookViews>
    <workbookView xWindow="1400" yWindow="1400" windowWidth="15450" windowHeight="9870" firstSheet="1" activeTab="1" xr2:uid="{8E322425-9AF0-4C49-8D84-6D80496211BF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Sheet2!$B$1:$B$951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25" i="2" l="1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125" i="2"/>
  <c r="H124" i="2"/>
  <c r="H123" i="2"/>
  <c r="H122" i="2"/>
  <c r="H121" i="2"/>
  <c r="H120" i="2"/>
  <c r="H119" i="2"/>
  <c r="H118" i="2"/>
  <c r="H117" i="2"/>
  <c r="H116" i="2"/>
  <c r="H115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43" i="2"/>
  <c r="H142" i="2"/>
  <c r="H141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200" i="2"/>
  <c r="H199" i="2"/>
  <c r="H198" i="2"/>
  <c r="H197" i="2"/>
  <c r="H196" i="2"/>
  <c r="H195" i="2"/>
  <c r="H194" i="2"/>
  <c r="H193" i="2"/>
  <c r="H192" i="2"/>
  <c r="H191" i="2"/>
  <c r="H190" i="2"/>
  <c r="H210" i="2"/>
  <c r="H209" i="2"/>
  <c r="H208" i="2"/>
  <c r="H207" i="2"/>
  <c r="H206" i="2"/>
  <c r="H205" i="2"/>
  <c r="H204" i="2"/>
  <c r="H203" i="2"/>
  <c r="H202" i="2"/>
  <c r="H201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92" i="2"/>
  <c r="H291" i="2"/>
  <c r="H290" i="2"/>
  <c r="H289" i="2"/>
  <c r="H288" i="2"/>
  <c r="H287" i="2"/>
  <c r="H286" i="2"/>
  <c r="H326" i="2"/>
  <c r="H325" i="2"/>
  <c r="H324" i="2"/>
  <c r="H323" i="2"/>
  <c r="H322" i="2"/>
  <c r="H321" i="2"/>
  <c r="H320" i="2"/>
  <c r="H319" i="2"/>
  <c r="H318" i="2"/>
  <c r="H317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64" i="2"/>
  <c r="H363" i="2"/>
  <c r="H362" i="2"/>
  <c r="H361" i="2"/>
  <c r="H360" i="2"/>
  <c r="H359" i="2"/>
  <c r="H358" i="2"/>
  <c r="H357" i="2"/>
  <c r="H356" i="2"/>
  <c r="H355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39" i="2"/>
  <c r="H538" i="2"/>
  <c r="H537" i="2"/>
  <c r="H536" i="2"/>
  <c r="H535" i="2"/>
  <c r="H530" i="2"/>
  <c r="H460" i="2"/>
  <c r="H534" i="2"/>
  <c r="H533" i="2"/>
  <c r="H532" i="2"/>
  <c r="H531" i="2"/>
  <c r="H529" i="2"/>
  <c r="H528" i="2"/>
  <c r="H527" i="2"/>
  <c r="H526" i="2"/>
  <c r="H681" i="2"/>
  <c r="H680" i="2"/>
  <c r="H679" i="2"/>
  <c r="H678" i="2"/>
  <c r="H677" i="2"/>
  <c r="H676" i="2"/>
  <c r="H675" i="2"/>
  <c r="H674" i="2"/>
  <c r="H673" i="2"/>
  <c r="H672" i="2"/>
  <c r="H717" i="2"/>
  <c r="H716" i="2"/>
  <c r="H715" i="2"/>
  <c r="H714" i="2"/>
  <c r="H713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59" i="2"/>
  <c r="H458" i="2"/>
  <c r="H457" i="2"/>
  <c r="H456" i="2"/>
  <c r="H455" i="2"/>
  <c r="H454" i="2"/>
  <c r="H453" i="2"/>
  <c r="H452" i="2"/>
  <c r="H451" i="2"/>
  <c r="H450" i="2"/>
  <c r="H449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273" i="2"/>
  <c r="H272" i="2"/>
  <c r="H271" i="2"/>
  <c r="H270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911" i="2"/>
  <c r="H910" i="2"/>
  <c r="H85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09" i="2"/>
  <c r="H908" i="2"/>
  <c r="H907" i="2"/>
  <c r="H906" i="2"/>
  <c r="H905" i="2"/>
  <c r="H904" i="2"/>
  <c r="H903" i="2"/>
  <c r="H902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293" i="2"/>
  <c r="H557" i="2"/>
  <c r="H556" i="2"/>
  <c r="H560" i="2"/>
  <c r="H559" i="2"/>
  <c r="H558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555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40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728" i="2"/>
  <c r="H727" i="2"/>
  <c r="H726" i="2"/>
  <c r="H725" i="2"/>
  <c r="H724" i="2"/>
  <c r="H723" i="2"/>
  <c r="H722" i="2"/>
  <c r="H721" i="2"/>
  <c r="H720" i="2"/>
  <c r="H719" i="2"/>
  <c r="H718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777" i="2"/>
  <c r="H778" i="2"/>
  <c r="H779" i="2"/>
  <c r="H780" i="2"/>
  <c r="H781" i="2"/>
  <c r="H782" i="2"/>
  <c r="H783" i="2"/>
  <c r="H78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770" i="2"/>
  <c r="H771" i="2"/>
  <c r="H772" i="2"/>
  <c r="H773" i="2"/>
  <c r="H774" i="2"/>
  <c r="H775" i="2"/>
  <c r="H776" i="2"/>
  <c r="H814" i="2"/>
  <c r="H762" i="2"/>
  <c r="H763" i="2"/>
  <c r="H764" i="2"/>
  <c r="H765" i="2"/>
  <c r="H766" i="2"/>
  <c r="H767" i="2"/>
  <c r="H768" i="2"/>
  <c r="H769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761" i="2"/>
  <c r="H760" i="2"/>
  <c r="H759" i="2"/>
  <c r="H758" i="2"/>
  <c r="H757" i="2"/>
  <c r="H756" i="2"/>
  <c r="H755" i="2"/>
  <c r="H754" i="2"/>
  <c r="H753" i="2"/>
  <c r="H752" i="2"/>
  <c r="H750" i="2"/>
  <c r="H749" i="2"/>
  <c r="H748" i="2"/>
  <c r="H747" i="2"/>
  <c r="H746" i="2"/>
  <c r="H745" i="2"/>
  <c r="H744" i="2"/>
  <c r="H743" i="2"/>
  <c r="H751" i="2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3" i="1"/>
  <c r="A4" i="1"/>
  <c r="A2" i="1"/>
</calcChain>
</file>

<file path=xl/sharedStrings.xml><?xml version="1.0" encoding="utf-8"?>
<sst xmlns="http://schemas.openxmlformats.org/spreadsheetml/2006/main" count="5490" uniqueCount="177">
  <si>
    <t>Sample ID</t>
  </si>
  <si>
    <t>DeathDate</t>
  </si>
  <si>
    <t>Individual</t>
  </si>
  <si>
    <t>Sex</t>
  </si>
  <si>
    <t>EclosionDate</t>
  </si>
  <si>
    <t>Age</t>
  </si>
  <si>
    <t>Cage</t>
  </si>
  <si>
    <t>NotLegible</t>
  </si>
  <si>
    <t>WingLength</t>
  </si>
  <si>
    <t>IntactWing</t>
  </si>
  <si>
    <t>comment</t>
  </si>
  <si>
    <t>Male</t>
  </si>
  <si>
    <t>C2</t>
  </si>
  <si>
    <t xml:space="preserve">No </t>
  </si>
  <si>
    <t>Yes</t>
  </si>
  <si>
    <t>Female</t>
  </si>
  <si>
    <t>No</t>
  </si>
  <si>
    <t>P1</t>
  </si>
  <si>
    <t>C8</t>
  </si>
  <si>
    <t>No?</t>
  </si>
  <si>
    <t>Month difficult to read</t>
  </si>
  <si>
    <t>NA</t>
  </si>
  <si>
    <t>Portion of wing where date was is missing</t>
  </si>
  <si>
    <t>Yes?</t>
  </si>
  <si>
    <t xml:space="preserve">Month difficult to read, wing edges frayed </t>
  </si>
  <si>
    <t xml:space="preserve">Yes </t>
  </si>
  <si>
    <t>Day difficult to read</t>
  </si>
  <si>
    <t>Cage, month, and day difficult to read, both wings frayed</t>
  </si>
  <si>
    <t xml:space="preserve">Day difficult to read, wings frayed </t>
  </si>
  <si>
    <t>PhotoBatch</t>
  </si>
  <si>
    <t>SampleID</t>
  </si>
  <si>
    <t>DateConf</t>
  </si>
  <si>
    <t>CageConf</t>
  </si>
  <si>
    <t>Discal cell forewing</t>
  </si>
  <si>
    <t>Discal cell hindwing</t>
  </si>
  <si>
    <t>Comment</t>
  </si>
  <si>
    <t>High</t>
  </si>
  <si>
    <t>C1</t>
  </si>
  <si>
    <t>W</t>
  </si>
  <si>
    <t>Low</t>
  </si>
  <si>
    <t>Date difficult to read</t>
  </si>
  <si>
    <t>Cage difficult to read</t>
  </si>
  <si>
    <t>Wings frayed but measurable</t>
  </si>
  <si>
    <t xml:space="preserve">Wings frayed but measurable </t>
  </si>
  <si>
    <t>Date difficult to read, wings frayed but measurable</t>
  </si>
  <si>
    <t>Date and cage difficult to read, wings frayed but  measurable</t>
  </si>
  <si>
    <t>Date frayed/missing, wings frayed but measurable</t>
  </si>
  <si>
    <t>C4</t>
  </si>
  <si>
    <t>Wings frayed</t>
  </si>
  <si>
    <t>Right wings missing, date difficult to read</t>
  </si>
  <si>
    <t>Wings frayed, date difficult to read</t>
  </si>
  <si>
    <t>Wings frayed, cage difficult to read</t>
  </si>
  <si>
    <t>Wings frayed but measurable, date missing/frayed, cage difficult to read</t>
  </si>
  <si>
    <t>Date is legable but seems unrealistic</t>
  </si>
  <si>
    <t>Date and cage difficult to read, wings frayed but measurable</t>
  </si>
  <si>
    <t>Wing frayed but measurable</t>
  </si>
  <si>
    <t>Date and cage difficult to read</t>
  </si>
  <si>
    <t>Wing frayed but measurable, date difficult to read</t>
  </si>
  <si>
    <t>Wings frayed, date missing</t>
  </si>
  <si>
    <t>Wings frayed but measurable, date difficult to read</t>
  </si>
  <si>
    <t>wings frayed but measurable</t>
  </si>
  <si>
    <t>No date and cage written</t>
  </si>
  <si>
    <t>No date or cage written</t>
  </si>
  <si>
    <t xml:space="preserve">Wings frayed </t>
  </si>
  <si>
    <t>No date or cage visable, wings frayed</t>
  </si>
  <si>
    <t>Wings frayed/missing</t>
  </si>
  <si>
    <t>Wings frayed but measurable, cage difficult to read</t>
  </si>
  <si>
    <t>Wings frayed, date and cage difficult to read</t>
  </si>
  <si>
    <t>Cage faded and missing</t>
  </si>
  <si>
    <t>Date missing/frayed, cage difficult to read</t>
  </si>
  <si>
    <t>Wings badly ripped where sex and date are unknown</t>
  </si>
  <si>
    <t>Wing edged frayed</t>
  </si>
  <si>
    <t>Date could be 8/12</t>
  </si>
  <si>
    <t xml:space="preserve">Cage is difficult to read, wing edges frayed but measurable </t>
  </si>
  <si>
    <t xml:space="preserve">Wings frayed but measurable, wing where date is ripped </t>
  </si>
  <si>
    <t>Date difficult to read, wings frayed</t>
  </si>
  <si>
    <t xml:space="preserve">Female </t>
  </si>
  <si>
    <t>Wings frayed byt measurable</t>
  </si>
  <si>
    <t>Wings frayed, date ripped</t>
  </si>
  <si>
    <t>Wings frayed but measurable, date frayed/missing</t>
  </si>
  <si>
    <t>Wings frayed but measurable, date and cage difficult to read</t>
  </si>
  <si>
    <t>Wings frayed where date is missing</t>
  </si>
  <si>
    <t>Wings frayed but measurable where cage is missing</t>
  </si>
  <si>
    <t>Wings frayed where date is difficult to read</t>
  </si>
  <si>
    <t>Date difficult to read, wings frayed by measurable</t>
  </si>
  <si>
    <t>Wing edges frayed but measurable</t>
  </si>
  <si>
    <t>Wings damaged where date was, wings badly frayed</t>
  </si>
  <si>
    <t>Wing edges frayed</t>
  </si>
  <si>
    <t>Wing edges badly frayed</t>
  </si>
  <si>
    <t>Wings frayed where date is missing and sex cannot be confirmed</t>
  </si>
  <si>
    <t>No visable date or cage number</t>
  </si>
  <si>
    <t xml:space="preserve">Wing  mostly in tact </t>
  </si>
  <si>
    <t>Month and day difficult to read</t>
  </si>
  <si>
    <t>Wing tip is missing</t>
  </si>
  <si>
    <t>Wing badly frayed, enclosion date portion of wing missing</t>
  </si>
  <si>
    <t>Date missing/frayed, wings frayed but measurable</t>
  </si>
  <si>
    <t xml:space="preserve">Date and cage difficult to read, wings frayed but measurable </t>
  </si>
  <si>
    <t>Date difficult to read, wings frayed measurable</t>
  </si>
  <si>
    <t>Wings frayed and wrinkled</t>
  </si>
  <si>
    <t>Wings badly frayed where date is missing</t>
  </si>
  <si>
    <t>Date frayed and difficult to read</t>
  </si>
  <si>
    <t>Wings frayed with date missing and cage difficult to read</t>
  </si>
  <si>
    <t>Cage faded difficult to read</t>
  </si>
  <si>
    <t xml:space="preserve">Wings very crinkled </t>
  </si>
  <si>
    <t>Wings badly frayed</t>
  </si>
  <si>
    <t>Wings badly frayed, date difficult to read</t>
  </si>
  <si>
    <t>Cage and date faded and difficult to read</t>
  </si>
  <si>
    <t>Date may be 2023-07-02 but seems unlikely</t>
  </si>
  <si>
    <t>Wing frayed but measurable, date frayed away</t>
  </si>
  <si>
    <t>Wing frayed by measurable</t>
  </si>
  <si>
    <t xml:space="preserve">Wing edges frayed </t>
  </si>
  <si>
    <t xml:space="preserve">Date and cage difficult to read because wings are frayed, but one wing still measurable </t>
  </si>
  <si>
    <t>Cage difficult to read, wing edges frayed</t>
  </si>
  <si>
    <t>Date difficult to read, wing edges frayed</t>
  </si>
  <si>
    <t>Wings frayed, date missing and cage difficult to read</t>
  </si>
  <si>
    <t>Wings faded and frayed, date and cage difficult to read</t>
  </si>
  <si>
    <t>Cage and date legible but difficult to read</t>
  </si>
  <si>
    <t>Date legible but difficult to read</t>
  </si>
  <si>
    <t>Cage legible but difficult to read</t>
  </si>
  <si>
    <t>Date could be 2023-07-15</t>
  </si>
  <si>
    <t xml:space="preserve">Wing edges frayed but measurable </t>
  </si>
  <si>
    <t>Date difficult to read, wing edges frayed but measurable</t>
  </si>
  <si>
    <t>Wing frayed near date making it difficult to read</t>
  </si>
  <si>
    <t>Date may read 2023-07-24</t>
  </si>
  <si>
    <t xml:space="preserve">C8 </t>
  </si>
  <si>
    <t>Wing frayed but measurable, date and cage difficult to read</t>
  </si>
  <si>
    <t>Cage and date difficult to read</t>
  </si>
  <si>
    <t>Wings frayed where date was written, sex is not confirmed</t>
  </si>
  <si>
    <t>Wings frayed but measurable, month missing where 7 is the most logical answer</t>
  </si>
  <si>
    <t>Wing ripped where date was written</t>
  </si>
  <si>
    <t>Wings badly frayed, wing ripped where date was written</t>
  </si>
  <si>
    <t>Date ripped/missing, wings frayed but measurable</t>
  </si>
  <si>
    <t xml:space="preserve">Cage faded but still legible </t>
  </si>
  <si>
    <t>No cage or date written on wing, wings in good condition</t>
  </si>
  <si>
    <t xml:space="preserve">Wings baldy frayed, date difficult to read where fraying is affects date legibility </t>
  </si>
  <si>
    <t>Wings badly frayed, date ripped off</t>
  </si>
  <si>
    <t>Cage difficult to read, writing rubbing off</t>
  </si>
  <si>
    <t>Date difficult to read, wings badly frayed</t>
  </si>
  <si>
    <t>Missing one forewing</t>
  </si>
  <si>
    <t>Date may read 2023-07-14</t>
  </si>
  <si>
    <t xml:space="preserve">C1 </t>
  </si>
  <si>
    <t xml:space="preserve">Cage difficult to read </t>
  </si>
  <si>
    <t xml:space="preserve">Cage difficult to read, wing edges frayed but measurable </t>
  </si>
  <si>
    <t>Date could read 2023-06-30</t>
  </si>
  <si>
    <t xml:space="preserve">Wing frayed but measurable </t>
  </si>
  <si>
    <t>Cage difficult to read, wings badly frayed</t>
  </si>
  <si>
    <t>Date and cage legible but faded</t>
  </si>
  <si>
    <t>Date and cage legible but faded, wings badly frayed</t>
  </si>
  <si>
    <t>Area of wing with date missing, wings badle frayed</t>
  </si>
  <si>
    <t>Wings badly frayed where part of date may be missing</t>
  </si>
  <si>
    <t>Cage is not legible, wing edges frayed</t>
  </si>
  <si>
    <t>Wings frayed at edges</t>
  </si>
  <si>
    <t xml:space="preserve">Wings frayed at edges </t>
  </si>
  <si>
    <t xml:space="preserve">Month difficult to read </t>
  </si>
  <si>
    <t xml:space="preserve">Wings badly frayed </t>
  </si>
  <si>
    <t>Wings edges frayed</t>
  </si>
  <si>
    <t>Cage almost not legible, wing edges badly frayed</t>
  </si>
  <si>
    <t>Wing edges frayed but still measurable</t>
  </si>
  <si>
    <t>One wing noticebly smaller than the other</t>
  </si>
  <si>
    <t>C6</t>
  </si>
  <si>
    <t>Enclosion date seems highly unlikely</t>
  </si>
  <si>
    <t xml:space="preserve">In tact wing was found in the bag detached </t>
  </si>
  <si>
    <t>Wings frayed at edges, month difficult to read</t>
  </si>
  <si>
    <t xml:space="preserve">Date frayed/missing, wings frayed but measurable </t>
  </si>
  <si>
    <t>Date difficult to read, wing badly frayed</t>
  </si>
  <si>
    <t>Date partially missing/frayed, wings badly frayed</t>
  </si>
  <si>
    <t>Date and cage faded, wings badly frayed</t>
  </si>
  <si>
    <t xml:space="preserve">C2 </t>
  </si>
  <si>
    <t>Date and cage dificult to read, wings badly frayed</t>
  </si>
  <si>
    <t>Date missing/frayed</t>
  </si>
  <si>
    <t>Wngs frayed but measurable, date missing/frayed</t>
  </si>
  <si>
    <t>Wings badly frayed, date difficult to read and may have a number missing</t>
  </si>
  <si>
    <t>Wings frayed but measurable, date difficult to read, could be missing a number</t>
  </si>
  <si>
    <t xml:space="preserve">Date and cage faded but still legible </t>
  </si>
  <si>
    <t>Date and cage faded but still legible</t>
  </si>
  <si>
    <t>Wings frayed but measurable, date illegible and frayed</t>
  </si>
  <si>
    <t>Wings badly frayed, date missing, cage difficult to read, sex undetermined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</si>
</sst>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000"/>
    <numFmt numFmtId="166" formatCode="0.000"/>
  </numFmts>
  <fonts count="4" x14ac:knownFonts="1"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rgb="FF000000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2" borderId="0" xfId="0" applyFont="1" applyFill="1"/>
    <xf numFmtId="0" fontId="1" fillId="0" borderId="0" xfId="0" applyFon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3" borderId="0" xfId="0" applyFont="1" applyFill="1"/>
    <xf numFmtId="164" fontId="1" fillId="3" borderId="0" xfId="0" applyNumberFormat="1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/>
    </xf>
    <xf numFmtId="166" fontId="0" fillId="0" borderId="0" xfId="0" applyNumberFormat="1"/>
    <xf numFmtId="166" fontId="1" fillId="3" borderId="0" xfId="0" applyNumberFormat="1" applyFont="1" applyFill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BD84-7408-4848-845D-DAC562DEFAA2}">
  <dimension ref="A1:K73"/>
  <sheetViews>
    <sheetView topLeftCell="C1" workbookViewId="0">
      <selection activeCell="K20" sqref="K20"/>
    </sheetView>
  </sheetViews>
  <sheetFormatPr defaultColWidth="11" defaultRowHeight="15.5" x14ac:dyDescent="0.35"/>
  <cols>
    <col min="1" max="1" width="22.5" customWidth="1"/>
    <col min="2" max="2" width="11" style="1"/>
    <col min="3" max="3" width="10.83203125" style="2"/>
    <col min="5" max="5" width="16.58203125" style="1" customWidth="1"/>
    <col min="6" max="6" width="15.08203125" style="3" customWidth="1"/>
  </cols>
  <sheetData>
    <row r="1" spans="1:11" x14ac:dyDescent="0.35">
      <c r="A1" t="s">
        <v>0</v>
      </c>
      <c r="B1" s="1" t="s">
        <v>1</v>
      </c>
      <c r="C1" s="2" t="s">
        <v>2</v>
      </c>
      <c r="D1" t="s">
        <v>3</v>
      </c>
      <c r="E1" s="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tr">
        <f>_xlfn.CONCAT(TEXT(B2,"YYYY-MM-DD"),"_",TEXT(C2,"0000"))</f>
        <v>2023-08-05_0001</v>
      </c>
      <c r="B2" s="1">
        <v>45143</v>
      </c>
      <c r="C2" s="2">
        <v>1</v>
      </c>
      <c r="D2" t="s">
        <v>11</v>
      </c>
      <c r="E2" s="1">
        <v>45123</v>
      </c>
      <c r="F2" s="3">
        <f t="shared" ref="F2:F20" si="0">DATEDIF(E2,B2,"d")</f>
        <v>20</v>
      </c>
      <c r="G2" t="s">
        <v>12</v>
      </c>
      <c r="H2" t="s">
        <v>13</v>
      </c>
      <c r="J2" t="s">
        <v>14</v>
      </c>
    </row>
    <row r="3" spans="1:11" x14ac:dyDescent="0.35">
      <c r="A3" t="str">
        <f t="shared" ref="A3:A66" si="1">_xlfn.CONCAT(TEXT(B3,"YYYY-MM-DD"),"_",TEXT(C3,"0000"))</f>
        <v>2023-08-05_0002</v>
      </c>
      <c r="B3" s="1">
        <v>45143</v>
      </c>
      <c r="C3" s="2">
        <v>2</v>
      </c>
      <c r="D3" t="s">
        <v>15</v>
      </c>
      <c r="E3" s="1">
        <v>45138</v>
      </c>
      <c r="F3" s="3">
        <f t="shared" si="0"/>
        <v>5</v>
      </c>
      <c r="G3" t="s">
        <v>12</v>
      </c>
      <c r="H3" t="s">
        <v>16</v>
      </c>
      <c r="J3" t="s">
        <v>14</v>
      </c>
    </row>
    <row r="4" spans="1:11" x14ac:dyDescent="0.35">
      <c r="A4" t="str">
        <f t="shared" si="1"/>
        <v>2023-08-05_0003</v>
      </c>
      <c r="B4" s="1">
        <v>45143</v>
      </c>
      <c r="C4" s="2">
        <v>3</v>
      </c>
      <c r="D4" t="s">
        <v>15</v>
      </c>
      <c r="E4" s="1">
        <v>45129</v>
      </c>
      <c r="F4" s="3">
        <f t="shared" si="0"/>
        <v>14</v>
      </c>
      <c r="G4" t="s">
        <v>17</v>
      </c>
      <c r="H4" t="s">
        <v>16</v>
      </c>
      <c r="J4" t="s">
        <v>14</v>
      </c>
    </row>
    <row r="5" spans="1:11" x14ac:dyDescent="0.35">
      <c r="A5" t="str">
        <f t="shared" si="1"/>
        <v>2023-08-05_0004</v>
      </c>
      <c r="B5" s="1">
        <v>45143</v>
      </c>
      <c r="C5" s="2">
        <v>4</v>
      </c>
      <c r="D5" t="s">
        <v>15</v>
      </c>
      <c r="E5" s="1">
        <v>45112</v>
      </c>
      <c r="F5" s="3">
        <f t="shared" si="0"/>
        <v>31</v>
      </c>
      <c r="G5" t="s">
        <v>18</v>
      </c>
      <c r="H5" t="s">
        <v>16</v>
      </c>
      <c r="J5" t="s">
        <v>14</v>
      </c>
    </row>
    <row r="6" spans="1:11" x14ac:dyDescent="0.35">
      <c r="A6" t="str">
        <f t="shared" si="1"/>
        <v>2023-08-05_0005</v>
      </c>
      <c r="B6" s="1">
        <v>45143</v>
      </c>
      <c r="C6" s="2">
        <v>5</v>
      </c>
      <c r="D6" t="s">
        <v>15</v>
      </c>
      <c r="E6" s="1">
        <v>45127</v>
      </c>
      <c r="F6" s="3">
        <f t="shared" si="0"/>
        <v>16</v>
      </c>
      <c r="G6" t="s">
        <v>17</v>
      </c>
      <c r="H6" t="s">
        <v>16</v>
      </c>
      <c r="J6" t="s">
        <v>14</v>
      </c>
    </row>
    <row r="7" spans="1:11" x14ac:dyDescent="0.35">
      <c r="A7" t="str">
        <f t="shared" si="1"/>
        <v>2023-08-05_0006</v>
      </c>
      <c r="B7" s="1">
        <v>45143</v>
      </c>
      <c r="C7" s="2">
        <v>6</v>
      </c>
      <c r="D7" t="s">
        <v>15</v>
      </c>
      <c r="E7" s="1">
        <v>45101</v>
      </c>
      <c r="F7" s="3">
        <f t="shared" si="0"/>
        <v>42</v>
      </c>
      <c r="G7" t="s">
        <v>17</v>
      </c>
      <c r="H7" t="s">
        <v>19</v>
      </c>
      <c r="J7" t="s">
        <v>14</v>
      </c>
      <c r="K7" t="s">
        <v>20</v>
      </c>
    </row>
    <row r="8" spans="1:11" x14ac:dyDescent="0.35">
      <c r="A8" t="str">
        <f t="shared" si="1"/>
        <v>2023-08-05_0007</v>
      </c>
      <c r="B8" s="1">
        <v>45143</v>
      </c>
      <c r="C8" s="2">
        <v>7</v>
      </c>
      <c r="D8" t="s">
        <v>15</v>
      </c>
      <c r="E8" s="1">
        <v>45127</v>
      </c>
      <c r="F8" s="3">
        <f t="shared" si="0"/>
        <v>16</v>
      </c>
      <c r="G8" t="s">
        <v>17</v>
      </c>
      <c r="H8" t="s">
        <v>16</v>
      </c>
      <c r="J8" t="s">
        <v>14</v>
      </c>
    </row>
    <row r="9" spans="1:11" x14ac:dyDescent="0.35">
      <c r="A9" t="str">
        <f t="shared" si="1"/>
        <v>2023-08-05_0008</v>
      </c>
      <c r="B9" s="1">
        <v>45143</v>
      </c>
      <c r="C9" s="2">
        <v>8</v>
      </c>
      <c r="D9" t="s">
        <v>11</v>
      </c>
      <c r="E9" s="1">
        <v>45104</v>
      </c>
      <c r="F9" s="3">
        <f t="shared" si="0"/>
        <v>39</v>
      </c>
      <c r="G9" t="s">
        <v>12</v>
      </c>
      <c r="H9" t="s">
        <v>16</v>
      </c>
      <c r="J9" t="s">
        <v>16</v>
      </c>
    </row>
    <row r="10" spans="1:11" x14ac:dyDescent="0.35">
      <c r="A10" t="str">
        <f t="shared" si="1"/>
        <v>2023-08-05_0009</v>
      </c>
      <c r="B10" s="1">
        <v>45143</v>
      </c>
      <c r="C10" s="2">
        <v>9</v>
      </c>
      <c r="D10" t="s">
        <v>11</v>
      </c>
      <c r="E10" s="1" t="s">
        <v>21</v>
      </c>
      <c r="F10" s="3" t="e">
        <f t="shared" si="0"/>
        <v>#VALUE!</v>
      </c>
      <c r="G10" t="s">
        <v>12</v>
      </c>
      <c r="H10" t="s">
        <v>14</v>
      </c>
      <c r="J10" t="s">
        <v>14</v>
      </c>
      <c r="K10" t="s">
        <v>22</v>
      </c>
    </row>
    <row r="11" spans="1:11" x14ac:dyDescent="0.35">
      <c r="A11" t="str">
        <f t="shared" si="1"/>
        <v>2023-08-05_0010</v>
      </c>
      <c r="B11" s="1">
        <v>45143</v>
      </c>
      <c r="C11" s="2">
        <v>10</v>
      </c>
      <c r="D11" t="s">
        <v>15</v>
      </c>
      <c r="E11" s="1">
        <v>45131</v>
      </c>
      <c r="F11" s="3">
        <f t="shared" si="0"/>
        <v>12</v>
      </c>
      <c r="G11" t="s">
        <v>12</v>
      </c>
      <c r="H11" t="s">
        <v>16</v>
      </c>
      <c r="J11" t="s">
        <v>14</v>
      </c>
    </row>
    <row r="12" spans="1:11" x14ac:dyDescent="0.35">
      <c r="A12" t="str">
        <f t="shared" si="1"/>
        <v>2023-08-05_0011</v>
      </c>
      <c r="B12" s="1">
        <v>45143</v>
      </c>
      <c r="C12" s="2">
        <v>11</v>
      </c>
      <c r="D12" t="s">
        <v>11</v>
      </c>
      <c r="E12" s="1">
        <v>45104</v>
      </c>
      <c r="F12" s="3">
        <f t="shared" si="0"/>
        <v>39</v>
      </c>
      <c r="G12" t="s">
        <v>18</v>
      </c>
      <c r="H12" t="s">
        <v>16</v>
      </c>
      <c r="J12" t="s">
        <v>14</v>
      </c>
    </row>
    <row r="13" spans="1:11" x14ac:dyDescent="0.35">
      <c r="A13" t="str">
        <f t="shared" si="1"/>
        <v>2023-08-05_0012</v>
      </c>
      <c r="B13" s="1">
        <v>45143</v>
      </c>
      <c r="C13" s="2">
        <v>12</v>
      </c>
      <c r="D13" t="s">
        <v>11</v>
      </c>
      <c r="E13" s="1">
        <v>45104</v>
      </c>
      <c r="F13" s="3">
        <f t="shared" si="0"/>
        <v>39</v>
      </c>
      <c r="G13" t="s">
        <v>12</v>
      </c>
      <c r="H13" t="s">
        <v>16</v>
      </c>
      <c r="J13" t="s">
        <v>14</v>
      </c>
    </row>
    <row r="14" spans="1:11" x14ac:dyDescent="0.35">
      <c r="A14" t="str">
        <f t="shared" si="1"/>
        <v>2023-08-05_0013</v>
      </c>
      <c r="B14" s="1">
        <v>45143</v>
      </c>
      <c r="C14" s="2">
        <v>13</v>
      </c>
      <c r="D14" t="s">
        <v>11</v>
      </c>
      <c r="E14" s="1">
        <v>45123</v>
      </c>
      <c r="F14" s="3">
        <f t="shared" si="0"/>
        <v>20</v>
      </c>
      <c r="G14" t="s">
        <v>12</v>
      </c>
      <c r="H14" t="s">
        <v>16</v>
      </c>
      <c r="J14" t="s">
        <v>14</v>
      </c>
    </row>
    <row r="15" spans="1:11" x14ac:dyDescent="0.35">
      <c r="A15" t="str">
        <f t="shared" si="1"/>
        <v>2023-08-05_0014</v>
      </c>
      <c r="B15" s="1">
        <v>45143</v>
      </c>
      <c r="C15" s="2">
        <v>14</v>
      </c>
      <c r="D15" t="s">
        <v>11</v>
      </c>
      <c r="E15" s="1">
        <v>45115</v>
      </c>
      <c r="F15" s="3">
        <f t="shared" si="0"/>
        <v>28</v>
      </c>
      <c r="G15" t="s">
        <v>12</v>
      </c>
      <c r="H15" t="s">
        <v>19</v>
      </c>
      <c r="J15" t="s">
        <v>23</v>
      </c>
      <c r="K15" t="s">
        <v>24</v>
      </c>
    </row>
    <row r="16" spans="1:11" x14ac:dyDescent="0.35">
      <c r="A16" t="str">
        <f t="shared" si="1"/>
        <v>2023-08-05_0015</v>
      </c>
      <c r="B16" s="1">
        <v>45143</v>
      </c>
      <c r="C16" s="2">
        <v>15</v>
      </c>
      <c r="D16" t="s">
        <v>15</v>
      </c>
      <c r="E16" s="1">
        <v>45120</v>
      </c>
      <c r="F16" s="3">
        <f t="shared" si="0"/>
        <v>23</v>
      </c>
      <c r="G16" t="s">
        <v>18</v>
      </c>
      <c r="H16" t="s">
        <v>16</v>
      </c>
      <c r="J16" t="s">
        <v>14</v>
      </c>
    </row>
    <row r="17" spans="1:11" x14ac:dyDescent="0.35">
      <c r="A17" t="str">
        <f t="shared" si="1"/>
        <v>2023-08-05_0016</v>
      </c>
      <c r="B17" s="1">
        <v>45143</v>
      </c>
      <c r="C17" s="2">
        <v>16</v>
      </c>
      <c r="D17" t="s">
        <v>15</v>
      </c>
      <c r="E17" s="1">
        <v>45135</v>
      </c>
      <c r="F17" s="3">
        <f t="shared" si="0"/>
        <v>8</v>
      </c>
      <c r="G17" t="s">
        <v>18</v>
      </c>
      <c r="H17" t="s">
        <v>16</v>
      </c>
      <c r="J17" t="s">
        <v>14</v>
      </c>
    </row>
    <row r="18" spans="1:11" x14ac:dyDescent="0.35">
      <c r="A18" t="str">
        <f t="shared" si="1"/>
        <v>2023-08-05_0017</v>
      </c>
      <c r="B18" s="1">
        <v>45143</v>
      </c>
      <c r="C18" s="2">
        <v>17</v>
      </c>
      <c r="D18" t="s">
        <v>11</v>
      </c>
      <c r="E18" s="1">
        <v>45123</v>
      </c>
      <c r="F18" s="3">
        <f t="shared" si="0"/>
        <v>20</v>
      </c>
      <c r="G18" t="s">
        <v>12</v>
      </c>
      <c r="H18" t="s">
        <v>19</v>
      </c>
      <c r="J18" t="s">
        <v>25</v>
      </c>
      <c r="K18" t="s">
        <v>26</v>
      </c>
    </row>
    <row r="19" spans="1:11" x14ac:dyDescent="0.35">
      <c r="A19" t="str">
        <f t="shared" si="1"/>
        <v>2023-08-05_0018</v>
      </c>
      <c r="B19" s="1">
        <v>45143</v>
      </c>
      <c r="C19" s="2">
        <v>18</v>
      </c>
      <c r="D19" t="s">
        <v>11</v>
      </c>
      <c r="E19" s="1">
        <v>45115</v>
      </c>
      <c r="F19" s="3">
        <f t="shared" si="0"/>
        <v>28</v>
      </c>
      <c r="G19" t="s">
        <v>18</v>
      </c>
      <c r="H19" t="s">
        <v>19</v>
      </c>
      <c r="J19" t="s">
        <v>16</v>
      </c>
      <c r="K19" t="s">
        <v>27</v>
      </c>
    </row>
    <row r="20" spans="1:11" x14ac:dyDescent="0.35">
      <c r="A20" t="str">
        <f t="shared" si="1"/>
        <v>2023-08-05_0019</v>
      </c>
      <c r="B20" s="1">
        <v>45143</v>
      </c>
      <c r="C20" s="2">
        <v>19</v>
      </c>
      <c r="D20" t="s">
        <v>11</v>
      </c>
      <c r="E20" s="1">
        <v>45112</v>
      </c>
      <c r="F20" s="3">
        <f t="shared" si="0"/>
        <v>31</v>
      </c>
      <c r="G20" t="s">
        <v>17</v>
      </c>
      <c r="H20" t="s">
        <v>13</v>
      </c>
      <c r="J20" t="s">
        <v>19</v>
      </c>
      <c r="K20" t="s">
        <v>28</v>
      </c>
    </row>
    <row r="21" spans="1:11" x14ac:dyDescent="0.35">
      <c r="A21" t="str">
        <f t="shared" si="1"/>
        <v>2023-08-21_0001</v>
      </c>
      <c r="B21" s="1">
        <v>45159</v>
      </c>
      <c r="C21" s="2">
        <v>1</v>
      </c>
      <c r="D21" t="s">
        <v>15</v>
      </c>
      <c r="E21" s="1" t="s">
        <v>21</v>
      </c>
      <c r="F21" s="3" t="e">
        <f t="shared" ref="F21:F66" si="2">DATEDIF(E21,B21,"d")</f>
        <v>#VALUE!</v>
      </c>
      <c r="G21" t="s">
        <v>21</v>
      </c>
      <c r="H21" t="s">
        <v>14</v>
      </c>
      <c r="J21" t="s">
        <v>14</v>
      </c>
    </row>
    <row r="22" spans="1:11" x14ac:dyDescent="0.35">
      <c r="A22" t="str">
        <f t="shared" si="1"/>
        <v>1900-01-00_0000</v>
      </c>
      <c r="F22" s="3">
        <f t="shared" si="2"/>
        <v>0</v>
      </c>
    </row>
    <row r="23" spans="1:11" x14ac:dyDescent="0.35">
      <c r="A23" t="str">
        <f t="shared" si="1"/>
        <v>1900-01-00_0000</v>
      </c>
      <c r="F23" s="3">
        <f t="shared" si="2"/>
        <v>0</v>
      </c>
    </row>
    <row r="24" spans="1:11" x14ac:dyDescent="0.35">
      <c r="A24" t="str">
        <f t="shared" si="1"/>
        <v>1900-01-00_0000</v>
      </c>
      <c r="F24" s="3">
        <f t="shared" si="2"/>
        <v>0</v>
      </c>
    </row>
    <row r="25" spans="1:11" x14ac:dyDescent="0.35">
      <c r="A25" t="str">
        <f t="shared" si="1"/>
        <v>1900-01-00_0000</v>
      </c>
      <c r="F25" s="3">
        <f t="shared" si="2"/>
        <v>0</v>
      </c>
    </row>
    <row r="26" spans="1:11" x14ac:dyDescent="0.35">
      <c r="A26" t="str">
        <f t="shared" si="1"/>
        <v>1900-01-00_0000</v>
      </c>
      <c r="F26" s="3">
        <f t="shared" si="2"/>
        <v>0</v>
      </c>
    </row>
    <row r="27" spans="1:11" x14ac:dyDescent="0.35">
      <c r="A27" t="str">
        <f t="shared" si="1"/>
        <v>1900-01-00_0000</v>
      </c>
      <c r="F27" s="3">
        <f t="shared" si="2"/>
        <v>0</v>
      </c>
    </row>
    <row r="28" spans="1:11" x14ac:dyDescent="0.35">
      <c r="A28" t="str">
        <f t="shared" si="1"/>
        <v>1900-01-00_0000</v>
      </c>
      <c r="F28" s="3">
        <f t="shared" si="2"/>
        <v>0</v>
      </c>
    </row>
    <row r="29" spans="1:11" x14ac:dyDescent="0.35">
      <c r="A29" t="str">
        <f t="shared" si="1"/>
        <v>1900-01-00_0000</v>
      </c>
      <c r="F29" s="3">
        <f t="shared" si="2"/>
        <v>0</v>
      </c>
    </row>
    <row r="30" spans="1:11" x14ac:dyDescent="0.35">
      <c r="A30" t="str">
        <f t="shared" si="1"/>
        <v>1900-01-00_0000</v>
      </c>
      <c r="F30" s="3">
        <f t="shared" si="2"/>
        <v>0</v>
      </c>
    </row>
    <row r="31" spans="1:11" x14ac:dyDescent="0.35">
      <c r="A31" t="str">
        <f t="shared" si="1"/>
        <v>1900-01-00_0000</v>
      </c>
      <c r="F31" s="3">
        <f t="shared" si="2"/>
        <v>0</v>
      </c>
    </row>
    <row r="32" spans="1:11" x14ac:dyDescent="0.35">
      <c r="A32" t="str">
        <f t="shared" si="1"/>
        <v>1900-01-00_0000</v>
      </c>
      <c r="F32" s="3">
        <f t="shared" si="2"/>
        <v>0</v>
      </c>
    </row>
    <row r="33" spans="1:6" x14ac:dyDescent="0.35">
      <c r="A33" t="str">
        <f t="shared" si="1"/>
        <v>1900-01-00_0000</v>
      </c>
      <c r="F33" s="3">
        <f t="shared" si="2"/>
        <v>0</v>
      </c>
    </row>
    <row r="34" spans="1:6" x14ac:dyDescent="0.35">
      <c r="A34" t="str">
        <f t="shared" si="1"/>
        <v>1900-01-00_0000</v>
      </c>
      <c r="F34" s="3">
        <f t="shared" si="2"/>
        <v>0</v>
      </c>
    </row>
    <row r="35" spans="1:6" x14ac:dyDescent="0.35">
      <c r="A35" t="str">
        <f t="shared" si="1"/>
        <v>1900-01-00_0000</v>
      </c>
      <c r="F35" s="3">
        <f t="shared" si="2"/>
        <v>0</v>
      </c>
    </row>
    <row r="36" spans="1:6" x14ac:dyDescent="0.35">
      <c r="A36" t="str">
        <f t="shared" si="1"/>
        <v>1900-01-00_0000</v>
      </c>
      <c r="F36" s="3">
        <f t="shared" si="2"/>
        <v>0</v>
      </c>
    </row>
    <row r="37" spans="1:6" x14ac:dyDescent="0.35">
      <c r="A37" t="str">
        <f t="shared" si="1"/>
        <v>1900-01-00_0000</v>
      </c>
      <c r="F37" s="3">
        <f t="shared" si="2"/>
        <v>0</v>
      </c>
    </row>
    <row r="38" spans="1:6" x14ac:dyDescent="0.35">
      <c r="A38" t="str">
        <f t="shared" si="1"/>
        <v>1900-01-00_0000</v>
      </c>
      <c r="F38" s="3">
        <f t="shared" si="2"/>
        <v>0</v>
      </c>
    </row>
    <row r="39" spans="1:6" x14ac:dyDescent="0.35">
      <c r="A39" t="str">
        <f t="shared" si="1"/>
        <v>1900-01-00_0000</v>
      </c>
      <c r="F39" s="3">
        <f t="shared" si="2"/>
        <v>0</v>
      </c>
    </row>
    <row r="40" spans="1:6" x14ac:dyDescent="0.35">
      <c r="A40" t="str">
        <f t="shared" si="1"/>
        <v>1900-01-00_0000</v>
      </c>
      <c r="F40" s="3">
        <f t="shared" si="2"/>
        <v>0</v>
      </c>
    </row>
    <row r="41" spans="1:6" x14ac:dyDescent="0.35">
      <c r="A41" t="str">
        <f t="shared" si="1"/>
        <v>1900-01-00_0000</v>
      </c>
      <c r="F41" s="3">
        <f t="shared" si="2"/>
        <v>0</v>
      </c>
    </row>
    <row r="42" spans="1:6" x14ac:dyDescent="0.35">
      <c r="A42" t="str">
        <f t="shared" si="1"/>
        <v>1900-01-00_0000</v>
      </c>
      <c r="F42" s="3">
        <f t="shared" si="2"/>
        <v>0</v>
      </c>
    </row>
    <row r="43" spans="1:6" x14ac:dyDescent="0.35">
      <c r="A43" t="str">
        <f t="shared" si="1"/>
        <v>1900-01-00_0000</v>
      </c>
      <c r="F43" s="3">
        <f t="shared" si="2"/>
        <v>0</v>
      </c>
    </row>
    <row r="44" spans="1:6" x14ac:dyDescent="0.35">
      <c r="A44" t="str">
        <f t="shared" si="1"/>
        <v>1900-01-00_0000</v>
      </c>
      <c r="F44" s="3">
        <f t="shared" si="2"/>
        <v>0</v>
      </c>
    </row>
    <row r="45" spans="1:6" x14ac:dyDescent="0.35">
      <c r="A45" t="str">
        <f t="shared" si="1"/>
        <v>1900-01-00_0000</v>
      </c>
      <c r="F45" s="3">
        <f t="shared" si="2"/>
        <v>0</v>
      </c>
    </row>
    <row r="46" spans="1:6" x14ac:dyDescent="0.35">
      <c r="A46" t="str">
        <f t="shared" si="1"/>
        <v>1900-01-00_0000</v>
      </c>
      <c r="F46" s="3">
        <f t="shared" si="2"/>
        <v>0</v>
      </c>
    </row>
    <row r="47" spans="1:6" x14ac:dyDescent="0.35">
      <c r="A47" t="str">
        <f t="shared" si="1"/>
        <v>1900-01-00_0000</v>
      </c>
      <c r="F47" s="3">
        <f t="shared" si="2"/>
        <v>0</v>
      </c>
    </row>
    <row r="48" spans="1:6" x14ac:dyDescent="0.35">
      <c r="A48" t="str">
        <f t="shared" si="1"/>
        <v>1900-01-00_0000</v>
      </c>
      <c r="F48" s="3">
        <f t="shared" si="2"/>
        <v>0</v>
      </c>
    </row>
    <row r="49" spans="1:6" x14ac:dyDescent="0.35">
      <c r="A49" t="str">
        <f t="shared" si="1"/>
        <v>1900-01-00_0000</v>
      </c>
      <c r="F49" s="3">
        <f t="shared" si="2"/>
        <v>0</v>
      </c>
    </row>
    <row r="50" spans="1:6" x14ac:dyDescent="0.35">
      <c r="A50" t="str">
        <f t="shared" si="1"/>
        <v>1900-01-00_0000</v>
      </c>
      <c r="F50" s="3">
        <f t="shared" si="2"/>
        <v>0</v>
      </c>
    </row>
    <row r="51" spans="1:6" x14ac:dyDescent="0.35">
      <c r="A51" t="str">
        <f t="shared" si="1"/>
        <v>1900-01-00_0000</v>
      </c>
      <c r="F51" s="3">
        <f t="shared" si="2"/>
        <v>0</v>
      </c>
    </row>
    <row r="52" spans="1:6" x14ac:dyDescent="0.35">
      <c r="A52" t="str">
        <f t="shared" si="1"/>
        <v>1900-01-00_0000</v>
      </c>
      <c r="F52" s="3">
        <f t="shared" si="2"/>
        <v>0</v>
      </c>
    </row>
    <row r="53" spans="1:6" x14ac:dyDescent="0.35">
      <c r="A53" t="str">
        <f t="shared" si="1"/>
        <v>1900-01-00_0000</v>
      </c>
      <c r="F53" s="3">
        <f t="shared" si="2"/>
        <v>0</v>
      </c>
    </row>
    <row r="54" spans="1:6" x14ac:dyDescent="0.35">
      <c r="A54" t="str">
        <f t="shared" si="1"/>
        <v>1900-01-00_0000</v>
      </c>
      <c r="F54" s="3">
        <f t="shared" si="2"/>
        <v>0</v>
      </c>
    </row>
    <row r="55" spans="1:6" x14ac:dyDescent="0.35">
      <c r="A55" t="str">
        <f t="shared" si="1"/>
        <v>1900-01-00_0000</v>
      </c>
      <c r="F55" s="3">
        <f t="shared" si="2"/>
        <v>0</v>
      </c>
    </row>
    <row r="56" spans="1:6" x14ac:dyDescent="0.35">
      <c r="A56" t="str">
        <f t="shared" si="1"/>
        <v>1900-01-00_0000</v>
      </c>
      <c r="F56" s="3">
        <f t="shared" si="2"/>
        <v>0</v>
      </c>
    </row>
    <row r="57" spans="1:6" x14ac:dyDescent="0.35">
      <c r="A57" t="str">
        <f t="shared" si="1"/>
        <v>1900-01-00_0000</v>
      </c>
      <c r="F57" s="3">
        <f t="shared" si="2"/>
        <v>0</v>
      </c>
    </row>
    <row r="58" spans="1:6" x14ac:dyDescent="0.35">
      <c r="A58" t="str">
        <f t="shared" si="1"/>
        <v>1900-01-00_0000</v>
      </c>
      <c r="F58" s="3">
        <f t="shared" si="2"/>
        <v>0</v>
      </c>
    </row>
    <row r="59" spans="1:6" x14ac:dyDescent="0.35">
      <c r="A59" t="str">
        <f t="shared" si="1"/>
        <v>1900-01-00_0000</v>
      </c>
      <c r="F59" s="3">
        <f t="shared" si="2"/>
        <v>0</v>
      </c>
    </row>
    <row r="60" spans="1:6" x14ac:dyDescent="0.35">
      <c r="A60" t="str">
        <f t="shared" si="1"/>
        <v>1900-01-00_0000</v>
      </c>
      <c r="F60" s="3">
        <f t="shared" si="2"/>
        <v>0</v>
      </c>
    </row>
    <row r="61" spans="1:6" x14ac:dyDescent="0.35">
      <c r="A61" t="str">
        <f t="shared" si="1"/>
        <v>1900-01-00_0000</v>
      </c>
      <c r="F61" s="3">
        <f t="shared" si="2"/>
        <v>0</v>
      </c>
    </row>
    <row r="62" spans="1:6" x14ac:dyDescent="0.35">
      <c r="A62" t="str">
        <f t="shared" si="1"/>
        <v>1900-01-00_0000</v>
      </c>
      <c r="F62" s="3">
        <f t="shared" si="2"/>
        <v>0</v>
      </c>
    </row>
    <row r="63" spans="1:6" x14ac:dyDescent="0.35">
      <c r="A63" t="str">
        <f t="shared" si="1"/>
        <v>1900-01-00_0000</v>
      </c>
      <c r="F63" s="3">
        <f t="shared" si="2"/>
        <v>0</v>
      </c>
    </row>
    <row r="64" spans="1:6" x14ac:dyDescent="0.35">
      <c r="A64" t="str">
        <f t="shared" si="1"/>
        <v>1900-01-00_0000</v>
      </c>
      <c r="F64" s="3">
        <f t="shared" si="2"/>
        <v>0</v>
      </c>
    </row>
    <row r="65" spans="1:6" x14ac:dyDescent="0.35">
      <c r="A65" t="str">
        <f t="shared" si="1"/>
        <v>1900-01-00_0000</v>
      </c>
      <c r="F65" s="3">
        <f t="shared" si="2"/>
        <v>0</v>
      </c>
    </row>
    <row r="66" spans="1:6" x14ac:dyDescent="0.35">
      <c r="A66" t="str">
        <f t="shared" si="1"/>
        <v>1900-01-00_0000</v>
      </c>
      <c r="F66" s="3">
        <f t="shared" si="2"/>
        <v>0</v>
      </c>
    </row>
    <row r="67" spans="1:6" x14ac:dyDescent="0.35">
      <c r="A67" t="str">
        <f t="shared" ref="A67:A73" si="3">_xlfn.CONCAT(TEXT(B67,"YYYY-MM-DD"),"_",TEXT(C67,"0000"))</f>
        <v>1900-01-00_0000</v>
      </c>
    </row>
    <row r="68" spans="1:6" x14ac:dyDescent="0.35">
      <c r="A68" t="str">
        <f t="shared" si="3"/>
        <v>1900-01-00_0000</v>
      </c>
    </row>
    <row r="69" spans="1:6" x14ac:dyDescent="0.35">
      <c r="A69" t="str">
        <f t="shared" si="3"/>
        <v>1900-01-00_0000</v>
      </c>
    </row>
    <row r="70" spans="1:6" x14ac:dyDescent="0.35">
      <c r="A70" t="str">
        <f t="shared" si="3"/>
        <v>1900-01-00_0000</v>
      </c>
    </row>
    <row r="71" spans="1:6" x14ac:dyDescent="0.35">
      <c r="A71" t="str">
        <f t="shared" si="3"/>
        <v>1900-01-00_0000</v>
      </c>
    </row>
    <row r="72" spans="1:6" x14ac:dyDescent="0.35">
      <c r="A72" t="str">
        <f t="shared" si="3"/>
        <v>1900-01-00_0000</v>
      </c>
    </row>
    <row r="73" spans="1:6" x14ac:dyDescent="0.35">
      <c r="A73" t="str">
        <f t="shared" si="3"/>
        <v>1900-01-00_0000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7EB0-632B-47E5-B5F3-2F1C4AC21B03}">
  <dimension ref="A1:R951"/>
  <sheetViews>
    <sheetView tabSelected="1" workbookViewId="0">
      <pane ySplit="1" topLeftCell="A592" activePane="bottomLeft" state="frozen"/>
      <selection pane="bottomLeft" activeCell="L604" sqref="L604"/>
    </sheetView>
  </sheetViews>
  <sheetFormatPr defaultRowHeight="15.5" x14ac:dyDescent="0.35"/>
  <cols>
    <col min="1" max="1" width="14.33203125" customWidth="1"/>
    <col min="2" max="2" width="18.25" customWidth="1"/>
    <col min="3" max="3" width="11.5" style="9" customWidth="1"/>
    <col min="4" max="4" width="23.5" style="9" customWidth="1"/>
    <col min="5" max="5" width="9" style="12"/>
    <col min="6" max="6" width="15.08203125" style="7" customWidth="1"/>
    <col min="7" max="7" width="11.75" style="9" customWidth="1"/>
    <col min="8" max="9" width="9" style="9"/>
    <col min="10" max="10" width="10" style="9" customWidth="1"/>
    <col min="11" max="11" width="17.5" style="19" customWidth="1"/>
    <col min="12" max="12" width="20.33203125" style="19" customWidth="1"/>
    <col min="13" max="13" width="21" style="19" customWidth="1"/>
    <col min="14" max="14" width="17.75" customWidth="1"/>
    <col min="15" max="15" width="28.25" customWidth="1"/>
  </cols>
  <sheetData>
    <row r="1" spans="1:18" s="5" customFormat="1" ht="18.5" x14ac:dyDescent="0.45">
      <c r="A1" s="13" t="s">
        <v>29</v>
      </c>
      <c r="B1" s="13" t="s">
        <v>30</v>
      </c>
      <c r="C1" s="14" t="s">
        <v>1</v>
      </c>
      <c r="D1" s="15" t="s">
        <v>2</v>
      </c>
      <c r="E1" s="16" t="s">
        <v>3</v>
      </c>
      <c r="F1" s="17" t="s">
        <v>4</v>
      </c>
      <c r="G1" s="14" t="s">
        <v>31</v>
      </c>
      <c r="H1" s="18" t="s">
        <v>5</v>
      </c>
      <c r="I1" s="16" t="s">
        <v>6</v>
      </c>
      <c r="J1" s="16" t="s">
        <v>32</v>
      </c>
      <c r="K1" s="20" t="s">
        <v>8</v>
      </c>
      <c r="L1" s="20" t="s">
        <v>33</v>
      </c>
      <c r="M1" s="20" t="s">
        <v>34</v>
      </c>
      <c r="N1" s="13" t="s">
        <v>9</v>
      </c>
      <c r="O1" s="13" t="s">
        <v>35</v>
      </c>
      <c r="P1" s="4"/>
      <c r="R1" s="4" t="s">
        <v>7</v>
      </c>
    </row>
    <row r="2" spans="1:18" ht="16" x14ac:dyDescent="0.4">
      <c r="A2">
        <v>86</v>
      </c>
      <c r="B2" t="str">
        <f t="shared" ref="B2:B65" si="0">IF(ISBLANK(C2),NA(),_xlfn.CONCAT(TEXT(C2,"YYYY-MM-DD"),"_",TEXT(D2,"0000")))</f>
        <v>2023-10-03_0001</v>
      </c>
      <c r="C2" s="8">
        <v>45202</v>
      </c>
      <c r="D2" s="11">
        <v>1</v>
      </c>
      <c r="E2" s="12" t="s">
        <v>11</v>
      </c>
      <c r="F2" s="6">
        <v>45179</v>
      </c>
      <c r="G2" s="9" t="s">
        <v>36</v>
      </c>
      <c r="H2" s="9">
        <f t="shared" ref="H2:H65" si="1">IF(F2="NA","NA", DATEDIF(F2,C2,"d"))</f>
        <v>23</v>
      </c>
      <c r="I2" s="9" t="s">
        <v>37</v>
      </c>
      <c r="J2" s="9" t="s">
        <v>36</v>
      </c>
      <c r="K2" s="19">
        <v>45.933</v>
      </c>
      <c r="L2" s="22">
        <v>2.367</v>
      </c>
      <c r="M2" s="22">
        <v>1.9750000000000001</v>
      </c>
      <c r="N2" t="s">
        <v>14</v>
      </c>
      <c r="R2" t="s">
        <v>13</v>
      </c>
    </row>
    <row r="3" spans="1:18" ht="16" x14ac:dyDescent="0.4">
      <c r="A3">
        <v>86</v>
      </c>
      <c r="B3" t="str">
        <f t="shared" si="0"/>
        <v>2023-10-03_0002</v>
      </c>
      <c r="C3" s="8">
        <v>45202</v>
      </c>
      <c r="D3" s="11">
        <v>2</v>
      </c>
      <c r="E3" s="12" t="s">
        <v>15</v>
      </c>
      <c r="F3" s="6">
        <v>45175</v>
      </c>
      <c r="G3" s="9" t="s">
        <v>36</v>
      </c>
      <c r="H3" s="9">
        <f t="shared" si="1"/>
        <v>27</v>
      </c>
      <c r="I3" s="9" t="s">
        <v>37</v>
      </c>
      <c r="J3" s="9" t="s">
        <v>36</v>
      </c>
      <c r="K3" s="19">
        <v>47.390999999999998</v>
      </c>
      <c r="L3" s="22">
        <v>2.395</v>
      </c>
      <c r="M3" s="22">
        <v>2.0230000000000001</v>
      </c>
      <c r="N3" t="s">
        <v>14</v>
      </c>
      <c r="R3" t="s">
        <v>16</v>
      </c>
    </row>
    <row r="4" spans="1:18" ht="16" x14ac:dyDescent="0.4">
      <c r="A4">
        <v>86</v>
      </c>
      <c r="B4" t="str">
        <f t="shared" si="0"/>
        <v>2023-10-03_0003</v>
      </c>
      <c r="C4" s="8">
        <v>45202</v>
      </c>
      <c r="D4" s="11">
        <v>3</v>
      </c>
      <c r="E4" s="12" t="s">
        <v>11</v>
      </c>
      <c r="F4" s="6">
        <v>45193</v>
      </c>
      <c r="G4" s="9" t="s">
        <v>36</v>
      </c>
      <c r="H4" s="9">
        <f t="shared" si="1"/>
        <v>9</v>
      </c>
      <c r="I4" s="9" t="s">
        <v>38</v>
      </c>
      <c r="J4" s="9" t="s">
        <v>36</v>
      </c>
      <c r="K4" s="19">
        <v>45.521000000000001</v>
      </c>
      <c r="L4" s="22">
        <v>2.4319999999999999</v>
      </c>
      <c r="M4" s="22">
        <v>1.9430000000000001</v>
      </c>
      <c r="N4" t="s">
        <v>14</v>
      </c>
      <c r="R4" t="s">
        <v>16</v>
      </c>
    </row>
    <row r="5" spans="1:18" ht="16" x14ac:dyDescent="0.4">
      <c r="A5">
        <v>86</v>
      </c>
      <c r="B5" t="str">
        <f t="shared" si="0"/>
        <v>2023-10-03_0004</v>
      </c>
      <c r="C5" s="8">
        <v>45202</v>
      </c>
      <c r="D5" s="11">
        <v>4</v>
      </c>
      <c r="E5" s="12" t="s">
        <v>15</v>
      </c>
      <c r="F5" s="6">
        <v>45178</v>
      </c>
      <c r="G5" s="9" t="s">
        <v>36</v>
      </c>
      <c r="H5" s="9">
        <f t="shared" si="1"/>
        <v>24</v>
      </c>
      <c r="I5" s="9" t="s">
        <v>12</v>
      </c>
      <c r="J5" s="9" t="s">
        <v>36</v>
      </c>
      <c r="K5" s="19">
        <v>46.399000000000001</v>
      </c>
      <c r="L5" s="22">
        <v>2.2669999999999999</v>
      </c>
      <c r="M5" s="22">
        <v>1.9470000000000001</v>
      </c>
      <c r="N5" t="s">
        <v>14</v>
      </c>
      <c r="R5" t="s">
        <v>16</v>
      </c>
    </row>
    <row r="6" spans="1:18" ht="16" x14ac:dyDescent="0.4">
      <c r="A6">
        <v>87</v>
      </c>
      <c r="B6" t="str">
        <f t="shared" si="0"/>
        <v>2023-10-03_0005</v>
      </c>
      <c r="C6" s="8">
        <v>45202</v>
      </c>
      <c r="D6" s="11">
        <v>5</v>
      </c>
      <c r="E6" s="12" t="s">
        <v>11</v>
      </c>
      <c r="F6" s="6">
        <v>45198</v>
      </c>
      <c r="G6" s="9" t="s">
        <v>39</v>
      </c>
      <c r="H6" s="9">
        <f t="shared" si="1"/>
        <v>4</v>
      </c>
      <c r="I6" s="9" t="s">
        <v>38</v>
      </c>
      <c r="J6" s="9" t="s">
        <v>36</v>
      </c>
      <c r="K6" s="19">
        <v>42.98</v>
      </c>
      <c r="L6" s="22">
        <v>2.319</v>
      </c>
      <c r="M6" s="22">
        <v>1.8240000000000001</v>
      </c>
      <c r="N6" t="s">
        <v>14</v>
      </c>
      <c r="O6" t="s">
        <v>40</v>
      </c>
      <c r="R6" t="s">
        <v>16</v>
      </c>
    </row>
    <row r="7" spans="1:18" ht="16" x14ac:dyDescent="0.4">
      <c r="A7">
        <v>87</v>
      </c>
      <c r="B7" t="str">
        <f t="shared" si="0"/>
        <v>2023-10-03_0006</v>
      </c>
      <c r="C7" s="8">
        <v>45202</v>
      </c>
      <c r="D7" s="11">
        <v>6</v>
      </c>
      <c r="E7" s="12" t="s">
        <v>11</v>
      </c>
      <c r="F7" s="6">
        <v>45169</v>
      </c>
      <c r="G7" s="9" t="s">
        <v>39</v>
      </c>
      <c r="H7" s="9">
        <f t="shared" si="1"/>
        <v>33</v>
      </c>
      <c r="I7" s="9" t="s">
        <v>17</v>
      </c>
      <c r="J7" s="9" t="s">
        <v>36</v>
      </c>
      <c r="K7" s="19">
        <v>55.112000000000002</v>
      </c>
      <c r="L7" s="22">
        <v>2.4239999999999999</v>
      </c>
      <c r="M7" s="22">
        <v>1.911</v>
      </c>
      <c r="N7" t="s">
        <v>14</v>
      </c>
      <c r="O7" t="s">
        <v>40</v>
      </c>
      <c r="R7" t="s">
        <v>19</v>
      </c>
    </row>
    <row r="8" spans="1:18" ht="16" x14ac:dyDescent="0.4">
      <c r="A8">
        <v>87</v>
      </c>
      <c r="B8" t="str">
        <f t="shared" si="0"/>
        <v>2023-10-03_0007</v>
      </c>
      <c r="C8" s="8">
        <v>45202</v>
      </c>
      <c r="D8" s="11">
        <v>7</v>
      </c>
      <c r="E8" s="12" t="s">
        <v>15</v>
      </c>
      <c r="F8" s="6">
        <v>45173</v>
      </c>
      <c r="G8" s="9" t="s">
        <v>36</v>
      </c>
      <c r="H8" s="9">
        <f t="shared" si="1"/>
        <v>29</v>
      </c>
      <c r="I8" s="9" t="s">
        <v>37</v>
      </c>
      <c r="J8" s="9" t="s">
        <v>39</v>
      </c>
      <c r="K8" s="19">
        <v>46.820999999999998</v>
      </c>
      <c r="L8" s="22">
        <v>2.21</v>
      </c>
      <c r="M8" s="22">
        <v>1.91</v>
      </c>
      <c r="N8" t="s">
        <v>14</v>
      </c>
      <c r="O8" t="s">
        <v>41</v>
      </c>
      <c r="R8" t="s">
        <v>16</v>
      </c>
    </row>
    <row r="9" spans="1:18" ht="16" x14ac:dyDescent="0.4">
      <c r="A9">
        <v>87</v>
      </c>
      <c r="B9" t="str">
        <f t="shared" si="0"/>
        <v>2023-10-03_0008</v>
      </c>
      <c r="C9" s="8">
        <v>45202</v>
      </c>
      <c r="D9" s="11">
        <v>8</v>
      </c>
      <c r="E9" s="12" t="s">
        <v>15</v>
      </c>
      <c r="F9" s="6">
        <v>45177</v>
      </c>
      <c r="G9" s="9" t="s">
        <v>36</v>
      </c>
      <c r="H9" s="9">
        <f t="shared" si="1"/>
        <v>25</v>
      </c>
      <c r="I9" s="9" t="s">
        <v>37</v>
      </c>
      <c r="J9" s="9" t="s">
        <v>36</v>
      </c>
      <c r="K9" s="19">
        <v>46.673000000000002</v>
      </c>
      <c r="L9" s="22">
        <v>2.242</v>
      </c>
      <c r="M9" s="22">
        <v>1.9159999999999999</v>
      </c>
      <c r="N9" t="s">
        <v>14</v>
      </c>
      <c r="R9" t="s">
        <v>16</v>
      </c>
    </row>
    <row r="10" spans="1:18" ht="16" x14ac:dyDescent="0.4">
      <c r="A10">
        <v>87</v>
      </c>
      <c r="B10" t="str">
        <f t="shared" si="0"/>
        <v>2023-10-03_0009</v>
      </c>
      <c r="C10" s="8">
        <v>45202</v>
      </c>
      <c r="D10" s="11">
        <v>9</v>
      </c>
      <c r="E10" s="12" t="s">
        <v>11</v>
      </c>
      <c r="F10" s="6">
        <v>45156</v>
      </c>
      <c r="G10" s="9" t="s">
        <v>36</v>
      </c>
      <c r="H10" s="9">
        <f t="shared" si="1"/>
        <v>46</v>
      </c>
      <c r="I10" s="9" t="s">
        <v>38</v>
      </c>
      <c r="J10" s="9" t="s">
        <v>36</v>
      </c>
      <c r="K10" s="19">
        <v>47.247999999999998</v>
      </c>
      <c r="L10" s="22">
        <v>2.484</v>
      </c>
      <c r="M10" s="22">
        <v>2.0960000000000001</v>
      </c>
      <c r="N10" t="s">
        <v>14</v>
      </c>
      <c r="R10" t="s">
        <v>14</v>
      </c>
    </row>
    <row r="11" spans="1:18" ht="16" x14ac:dyDescent="0.4">
      <c r="A11">
        <v>88</v>
      </c>
      <c r="B11" t="str">
        <f t="shared" si="0"/>
        <v>2023-10-03_0010</v>
      </c>
      <c r="C11" s="8">
        <v>45202</v>
      </c>
      <c r="D11" s="11">
        <v>10</v>
      </c>
      <c r="E11" s="12" t="s">
        <v>11</v>
      </c>
      <c r="F11" s="6">
        <v>45179</v>
      </c>
      <c r="G11" s="9" t="s">
        <v>36</v>
      </c>
      <c r="H11" s="9">
        <f t="shared" si="1"/>
        <v>23</v>
      </c>
      <c r="I11" s="9" t="s">
        <v>37</v>
      </c>
      <c r="J11" s="9" t="s">
        <v>36</v>
      </c>
      <c r="K11" s="19">
        <v>46.804000000000002</v>
      </c>
      <c r="L11" s="22">
        <v>2.4790000000000001</v>
      </c>
      <c r="M11" s="22">
        <v>1.948</v>
      </c>
      <c r="N11" t="s">
        <v>14</v>
      </c>
      <c r="O11" t="s">
        <v>42</v>
      </c>
      <c r="R11" t="s">
        <v>16</v>
      </c>
    </row>
    <row r="12" spans="1:18" ht="16" x14ac:dyDescent="0.4">
      <c r="A12">
        <v>88</v>
      </c>
      <c r="B12" t="str">
        <f t="shared" si="0"/>
        <v>2023-10-03_0011</v>
      </c>
      <c r="C12" s="8">
        <v>45202</v>
      </c>
      <c r="D12" s="11">
        <v>11</v>
      </c>
      <c r="E12" s="12" t="s">
        <v>15</v>
      </c>
      <c r="F12" s="6">
        <v>45177</v>
      </c>
      <c r="G12" s="9" t="s">
        <v>36</v>
      </c>
      <c r="H12" s="9">
        <f t="shared" si="1"/>
        <v>25</v>
      </c>
      <c r="I12" s="9" t="s">
        <v>37</v>
      </c>
      <c r="J12" s="9" t="s">
        <v>36</v>
      </c>
      <c r="K12" s="19">
        <v>46.683999999999997</v>
      </c>
      <c r="L12" s="22">
        <v>2.3109999999999999</v>
      </c>
      <c r="M12" s="22">
        <v>2.048</v>
      </c>
      <c r="N12" t="s">
        <v>14</v>
      </c>
      <c r="R12" t="s">
        <v>16</v>
      </c>
    </row>
    <row r="13" spans="1:18" ht="16" x14ac:dyDescent="0.4">
      <c r="A13">
        <v>88</v>
      </c>
      <c r="B13" t="str">
        <f t="shared" si="0"/>
        <v>2023-10-03_0012</v>
      </c>
      <c r="C13" s="8">
        <v>45202</v>
      </c>
      <c r="D13" s="11">
        <v>12</v>
      </c>
      <c r="E13" s="12" t="s">
        <v>11</v>
      </c>
      <c r="F13" s="6">
        <v>45159</v>
      </c>
      <c r="G13" s="9" t="s">
        <v>36</v>
      </c>
      <c r="H13" s="9">
        <f t="shared" si="1"/>
        <v>43</v>
      </c>
      <c r="I13" s="9" t="s">
        <v>12</v>
      </c>
      <c r="J13" s="9" t="s">
        <v>36</v>
      </c>
      <c r="K13" s="19">
        <v>43.87</v>
      </c>
      <c r="L13" s="22">
        <v>2.44</v>
      </c>
      <c r="M13" s="22">
        <v>1.8939999999999999</v>
      </c>
      <c r="N13" t="s">
        <v>14</v>
      </c>
      <c r="O13" t="s">
        <v>42</v>
      </c>
      <c r="R13" t="s">
        <v>16</v>
      </c>
    </row>
    <row r="14" spans="1:18" ht="16" x14ac:dyDescent="0.4">
      <c r="A14">
        <v>88</v>
      </c>
      <c r="B14" t="str">
        <f t="shared" si="0"/>
        <v>2023-10-03_0013</v>
      </c>
      <c r="C14" s="8">
        <v>45202</v>
      </c>
      <c r="D14" s="11">
        <v>13</v>
      </c>
      <c r="E14" s="12" t="s">
        <v>15</v>
      </c>
      <c r="F14" s="6">
        <v>45178</v>
      </c>
      <c r="G14" s="9" t="s">
        <v>36</v>
      </c>
      <c r="H14" s="9">
        <f t="shared" si="1"/>
        <v>24</v>
      </c>
      <c r="I14" s="9" t="s">
        <v>12</v>
      </c>
      <c r="J14" s="9" t="s">
        <v>36</v>
      </c>
      <c r="K14" s="19">
        <v>49.762999999999998</v>
      </c>
      <c r="L14" s="22">
        <v>2.4900000000000002</v>
      </c>
      <c r="M14" s="22">
        <v>2.0459999999999998</v>
      </c>
      <c r="N14" t="s">
        <v>14</v>
      </c>
      <c r="R14" t="s">
        <v>16</v>
      </c>
    </row>
    <row r="15" spans="1:18" ht="16" x14ac:dyDescent="0.4">
      <c r="A15">
        <v>88</v>
      </c>
      <c r="B15" t="str">
        <f t="shared" si="0"/>
        <v>2023-10-03_0014</v>
      </c>
      <c r="C15" s="8">
        <v>45202</v>
      </c>
      <c r="D15" s="11">
        <v>14</v>
      </c>
      <c r="E15" s="12" t="s">
        <v>15</v>
      </c>
      <c r="F15" s="6">
        <v>45179</v>
      </c>
      <c r="G15" s="9" t="s">
        <v>39</v>
      </c>
      <c r="H15" s="9">
        <f t="shared" si="1"/>
        <v>23</v>
      </c>
      <c r="I15" s="9" t="s">
        <v>37</v>
      </c>
      <c r="J15" s="9" t="s">
        <v>36</v>
      </c>
      <c r="K15" s="19">
        <v>46.713999999999999</v>
      </c>
      <c r="L15" s="22">
        <v>2.3380000000000001</v>
      </c>
      <c r="M15" s="22">
        <v>1.9990000000000001</v>
      </c>
      <c r="N15" t="s">
        <v>14</v>
      </c>
      <c r="O15" t="s">
        <v>40</v>
      </c>
      <c r="R15" t="s">
        <v>19</v>
      </c>
    </row>
    <row r="16" spans="1:18" ht="16" x14ac:dyDescent="0.4">
      <c r="A16">
        <v>88</v>
      </c>
      <c r="B16" t="str">
        <f t="shared" si="0"/>
        <v>2023-10-03_0015</v>
      </c>
      <c r="C16" s="8">
        <v>45202</v>
      </c>
      <c r="D16" s="11">
        <v>15</v>
      </c>
      <c r="E16" s="12" t="s">
        <v>15</v>
      </c>
      <c r="F16" s="6">
        <v>45173</v>
      </c>
      <c r="G16" s="9" t="s">
        <v>36</v>
      </c>
      <c r="H16" s="9">
        <f t="shared" si="1"/>
        <v>29</v>
      </c>
      <c r="I16" s="9" t="s">
        <v>37</v>
      </c>
      <c r="J16" s="9" t="s">
        <v>36</v>
      </c>
      <c r="K16" s="19">
        <v>46.670999999999999</v>
      </c>
      <c r="L16" s="22">
        <v>2.3580000000000001</v>
      </c>
      <c r="M16" s="22">
        <v>1.911</v>
      </c>
      <c r="N16" t="s">
        <v>14</v>
      </c>
      <c r="R16" t="s">
        <v>16</v>
      </c>
    </row>
    <row r="17" spans="1:18" ht="16" x14ac:dyDescent="0.4">
      <c r="A17">
        <v>88</v>
      </c>
      <c r="B17" t="str">
        <f t="shared" si="0"/>
        <v>2023-10-03_0016</v>
      </c>
      <c r="C17" s="8">
        <v>45202</v>
      </c>
      <c r="D17" s="11">
        <v>16</v>
      </c>
      <c r="E17" s="12" t="s">
        <v>11</v>
      </c>
      <c r="F17" s="6">
        <v>45172</v>
      </c>
      <c r="G17" s="9" t="s">
        <v>39</v>
      </c>
      <c r="H17" s="9">
        <f t="shared" si="1"/>
        <v>30</v>
      </c>
      <c r="I17" s="9" t="s">
        <v>17</v>
      </c>
      <c r="J17" s="9" t="s">
        <v>36</v>
      </c>
      <c r="K17" s="19">
        <v>46.954000000000001</v>
      </c>
      <c r="L17" s="22">
        <v>2.625</v>
      </c>
      <c r="M17" s="22">
        <v>1.974</v>
      </c>
      <c r="N17" t="s">
        <v>14</v>
      </c>
      <c r="O17" t="s">
        <v>40</v>
      </c>
      <c r="R17" t="s">
        <v>16</v>
      </c>
    </row>
    <row r="18" spans="1:18" ht="16" x14ac:dyDescent="0.4">
      <c r="A18">
        <v>89</v>
      </c>
      <c r="B18" t="str">
        <f t="shared" si="0"/>
        <v>2023-10-03_0017</v>
      </c>
      <c r="C18" s="8">
        <v>45202</v>
      </c>
      <c r="D18" s="11">
        <v>17</v>
      </c>
      <c r="E18" s="12" t="s">
        <v>11</v>
      </c>
      <c r="F18" s="6">
        <v>45177</v>
      </c>
      <c r="G18" s="9" t="s">
        <v>36</v>
      </c>
      <c r="H18" s="9">
        <f t="shared" si="1"/>
        <v>25</v>
      </c>
      <c r="I18" s="9" t="s">
        <v>37</v>
      </c>
      <c r="J18" s="9" t="s">
        <v>36</v>
      </c>
      <c r="K18" s="19">
        <v>45.228000000000002</v>
      </c>
      <c r="L18" s="22">
        <v>2.4239999999999999</v>
      </c>
      <c r="M18" s="22">
        <v>1.996</v>
      </c>
      <c r="N18" t="s">
        <v>14</v>
      </c>
      <c r="O18" t="s">
        <v>42</v>
      </c>
      <c r="R18" t="s">
        <v>19</v>
      </c>
    </row>
    <row r="19" spans="1:18" ht="16" x14ac:dyDescent="0.4">
      <c r="A19">
        <v>89</v>
      </c>
      <c r="B19" t="str">
        <f t="shared" si="0"/>
        <v>2023-10-03_0018</v>
      </c>
      <c r="C19" s="8">
        <v>45202</v>
      </c>
      <c r="D19" s="11">
        <v>18</v>
      </c>
      <c r="E19" s="12" t="s">
        <v>11</v>
      </c>
      <c r="F19" s="6">
        <v>45175</v>
      </c>
      <c r="G19" s="9" t="s">
        <v>36</v>
      </c>
      <c r="H19" s="9">
        <f t="shared" si="1"/>
        <v>27</v>
      </c>
      <c r="I19" s="9" t="s">
        <v>17</v>
      </c>
      <c r="J19" s="9" t="s">
        <v>36</v>
      </c>
      <c r="K19" s="19">
        <v>44.503</v>
      </c>
      <c r="L19" s="22">
        <v>2.3119999999999998</v>
      </c>
      <c r="M19" s="22">
        <v>1.6870000000000001</v>
      </c>
      <c r="N19" t="s">
        <v>14</v>
      </c>
      <c r="R19" t="s">
        <v>19</v>
      </c>
    </row>
    <row r="20" spans="1:18" ht="16" x14ac:dyDescent="0.4">
      <c r="A20">
        <v>89</v>
      </c>
      <c r="B20" t="str">
        <f t="shared" si="0"/>
        <v>2023-10-03_0019</v>
      </c>
      <c r="C20" s="8">
        <v>45202</v>
      </c>
      <c r="D20" s="11">
        <v>19</v>
      </c>
      <c r="E20" s="12" t="s">
        <v>15</v>
      </c>
      <c r="F20" s="6">
        <v>45181</v>
      </c>
      <c r="G20" s="9" t="s">
        <v>39</v>
      </c>
      <c r="H20" s="9">
        <f t="shared" si="1"/>
        <v>21</v>
      </c>
      <c r="I20" s="9" t="s">
        <v>17</v>
      </c>
      <c r="J20" s="9" t="s">
        <v>36</v>
      </c>
      <c r="K20" s="19">
        <v>46.606999999999999</v>
      </c>
      <c r="L20" s="22">
        <v>2.1859999999999999</v>
      </c>
      <c r="M20" s="22">
        <v>1.903</v>
      </c>
      <c r="N20" t="s">
        <v>14</v>
      </c>
      <c r="O20" t="s">
        <v>40</v>
      </c>
      <c r="R20" t="s">
        <v>13</v>
      </c>
    </row>
    <row r="21" spans="1:18" ht="16" x14ac:dyDescent="0.4">
      <c r="A21">
        <v>89</v>
      </c>
      <c r="B21" t="str">
        <f t="shared" si="0"/>
        <v>2023-10-03_0020</v>
      </c>
      <c r="C21" s="8">
        <v>45202</v>
      </c>
      <c r="D21" s="11">
        <v>20</v>
      </c>
      <c r="E21" s="12" t="s">
        <v>15</v>
      </c>
      <c r="F21" s="6">
        <v>45188</v>
      </c>
      <c r="G21" s="9" t="s">
        <v>36</v>
      </c>
      <c r="H21" s="9">
        <f t="shared" si="1"/>
        <v>14</v>
      </c>
      <c r="I21" s="9" t="s">
        <v>17</v>
      </c>
      <c r="J21" s="9" t="s">
        <v>36</v>
      </c>
      <c r="K21" s="19">
        <v>51.741</v>
      </c>
      <c r="L21" s="22">
        <v>2.6030000000000002</v>
      </c>
      <c r="M21" s="22">
        <v>2</v>
      </c>
      <c r="N21" t="s">
        <v>14</v>
      </c>
      <c r="R21" t="s">
        <v>14</v>
      </c>
    </row>
    <row r="22" spans="1:18" ht="16" x14ac:dyDescent="0.4">
      <c r="A22">
        <v>89</v>
      </c>
      <c r="B22" t="str">
        <f t="shared" si="0"/>
        <v>2023-10-03_0021</v>
      </c>
      <c r="C22" s="8">
        <v>45202</v>
      </c>
      <c r="D22" s="11">
        <v>21</v>
      </c>
      <c r="E22" s="12" t="s">
        <v>11</v>
      </c>
      <c r="F22" s="6">
        <v>45179</v>
      </c>
      <c r="G22" s="9" t="s">
        <v>36</v>
      </c>
      <c r="H22" s="9">
        <f t="shared" si="1"/>
        <v>23</v>
      </c>
      <c r="I22" s="9" t="s">
        <v>38</v>
      </c>
      <c r="J22" s="9" t="s">
        <v>36</v>
      </c>
      <c r="K22" s="19">
        <v>46.795999999999999</v>
      </c>
      <c r="L22" s="22">
        <v>2.4260000000000002</v>
      </c>
      <c r="M22" s="22">
        <v>1.996</v>
      </c>
      <c r="N22" t="s">
        <v>14</v>
      </c>
      <c r="O22" t="s">
        <v>43</v>
      </c>
    </row>
    <row r="23" spans="1:18" ht="16" x14ac:dyDescent="0.4">
      <c r="A23">
        <v>89</v>
      </c>
      <c r="B23" t="str">
        <f t="shared" si="0"/>
        <v>2023-10-03_0022</v>
      </c>
      <c r="C23" s="8">
        <v>45202</v>
      </c>
      <c r="D23" s="11">
        <v>22</v>
      </c>
      <c r="E23" s="12" t="s">
        <v>11</v>
      </c>
      <c r="F23" s="6">
        <v>45184</v>
      </c>
      <c r="G23" s="9" t="s">
        <v>39</v>
      </c>
      <c r="H23" s="9">
        <f t="shared" si="1"/>
        <v>18</v>
      </c>
      <c r="I23" s="9" t="s">
        <v>37</v>
      </c>
      <c r="J23" s="9" t="s">
        <v>36</v>
      </c>
      <c r="K23" s="19">
        <v>48.432000000000002</v>
      </c>
      <c r="L23" s="22">
        <v>2.4590000000000001</v>
      </c>
      <c r="M23" s="22">
        <v>1.9330000000000001</v>
      </c>
      <c r="N23" t="s">
        <v>14</v>
      </c>
      <c r="O23" t="s">
        <v>44</v>
      </c>
    </row>
    <row r="24" spans="1:18" ht="16" x14ac:dyDescent="0.4">
      <c r="A24">
        <v>89</v>
      </c>
      <c r="B24" t="str">
        <f t="shared" si="0"/>
        <v>2023-10-03_0023</v>
      </c>
      <c r="C24" s="8">
        <v>45202</v>
      </c>
      <c r="D24" s="11">
        <v>23</v>
      </c>
      <c r="E24" s="12" t="s">
        <v>11</v>
      </c>
      <c r="F24" s="6">
        <v>45178</v>
      </c>
      <c r="G24" s="9" t="s">
        <v>36</v>
      </c>
      <c r="H24" s="9">
        <f t="shared" si="1"/>
        <v>24</v>
      </c>
      <c r="I24" s="9" t="s">
        <v>12</v>
      </c>
      <c r="J24" s="9" t="s">
        <v>36</v>
      </c>
      <c r="K24" s="19">
        <v>49.313000000000002</v>
      </c>
      <c r="L24" s="22">
        <v>2.5950000000000002</v>
      </c>
      <c r="M24" s="22">
        <v>2.1240000000000001</v>
      </c>
      <c r="N24" t="s">
        <v>14</v>
      </c>
      <c r="O24" t="s">
        <v>42</v>
      </c>
    </row>
    <row r="25" spans="1:18" ht="16" x14ac:dyDescent="0.4">
      <c r="A25">
        <v>89</v>
      </c>
      <c r="B25" t="str">
        <f t="shared" si="0"/>
        <v>2023-10-03_0024</v>
      </c>
      <c r="C25" s="8">
        <v>45202</v>
      </c>
      <c r="D25" s="11">
        <v>24</v>
      </c>
      <c r="E25" s="12" t="s">
        <v>15</v>
      </c>
      <c r="F25" s="6">
        <v>45163</v>
      </c>
      <c r="G25" s="9" t="s">
        <v>36</v>
      </c>
      <c r="H25" s="9">
        <f t="shared" si="1"/>
        <v>39</v>
      </c>
      <c r="I25" s="9" t="s">
        <v>38</v>
      </c>
      <c r="J25" s="9" t="s">
        <v>36</v>
      </c>
      <c r="K25" s="19">
        <v>50.656999999999996</v>
      </c>
      <c r="L25" s="22">
        <v>2.4249999999999998</v>
      </c>
      <c r="M25" s="22">
        <v>1.9690000000000001</v>
      </c>
      <c r="N25" t="s">
        <v>14</v>
      </c>
    </row>
    <row r="26" spans="1:18" ht="16" x14ac:dyDescent="0.4">
      <c r="A26">
        <v>89</v>
      </c>
      <c r="B26" t="str">
        <f t="shared" si="0"/>
        <v>2023-10-03_0025</v>
      </c>
      <c r="C26" s="8">
        <v>45202</v>
      </c>
      <c r="D26" s="11">
        <v>25</v>
      </c>
      <c r="E26" s="12" t="s">
        <v>15</v>
      </c>
      <c r="F26" s="6">
        <v>45178</v>
      </c>
      <c r="G26" s="9" t="s">
        <v>36</v>
      </c>
      <c r="H26" s="9">
        <f t="shared" si="1"/>
        <v>24</v>
      </c>
      <c r="I26" s="9" t="s">
        <v>12</v>
      </c>
      <c r="J26" s="9" t="s">
        <v>36</v>
      </c>
      <c r="K26" s="19">
        <v>40.39</v>
      </c>
      <c r="L26" s="22">
        <v>2.028</v>
      </c>
      <c r="M26" s="22">
        <v>1.744</v>
      </c>
      <c r="N26" t="s">
        <v>14</v>
      </c>
      <c r="O26" t="s">
        <v>42</v>
      </c>
    </row>
    <row r="27" spans="1:18" ht="16" x14ac:dyDescent="0.4">
      <c r="A27">
        <v>89</v>
      </c>
      <c r="B27" t="str">
        <f t="shared" si="0"/>
        <v>2023-10-03_0026</v>
      </c>
      <c r="C27" s="8">
        <v>45202</v>
      </c>
      <c r="D27" s="11">
        <v>26</v>
      </c>
      <c r="E27" s="12" t="s">
        <v>15</v>
      </c>
      <c r="F27" s="6">
        <v>45177</v>
      </c>
      <c r="G27" s="9" t="s">
        <v>36</v>
      </c>
      <c r="H27" s="9">
        <f t="shared" si="1"/>
        <v>25</v>
      </c>
      <c r="I27" s="9" t="s">
        <v>37</v>
      </c>
      <c r="J27" s="9" t="s">
        <v>36</v>
      </c>
      <c r="K27" s="19">
        <v>46.06</v>
      </c>
      <c r="L27" s="22">
        <v>2.3210000000000002</v>
      </c>
      <c r="M27" s="22">
        <v>1.9390000000000001</v>
      </c>
      <c r="N27" t="s">
        <v>14</v>
      </c>
    </row>
    <row r="28" spans="1:18" ht="16" x14ac:dyDescent="0.4">
      <c r="A28">
        <v>89</v>
      </c>
      <c r="B28" t="str">
        <f t="shared" si="0"/>
        <v>2023-10-03_0027</v>
      </c>
      <c r="C28" s="8">
        <v>45202</v>
      </c>
      <c r="D28" s="11">
        <v>27</v>
      </c>
      <c r="E28" s="12" t="s">
        <v>11</v>
      </c>
      <c r="F28" s="6">
        <v>45178</v>
      </c>
      <c r="G28" s="9" t="s">
        <v>36</v>
      </c>
      <c r="H28" s="9">
        <f t="shared" si="1"/>
        <v>24</v>
      </c>
      <c r="I28" s="9" t="s">
        <v>12</v>
      </c>
      <c r="J28" s="9" t="s">
        <v>36</v>
      </c>
      <c r="K28" s="19">
        <v>46.039000000000001</v>
      </c>
      <c r="L28" s="22">
        <v>2.3159999999999998</v>
      </c>
      <c r="M28" s="22">
        <v>1.9450000000000001</v>
      </c>
      <c r="N28" t="s">
        <v>14</v>
      </c>
    </row>
    <row r="29" spans="1:18" ht="16" x14ac:dyDescent="0.4">
      <c r="A29">
        <v>89</v>
      </c>
      <c r="B29" t="str">
        <f t="shared" si="0"/>
        <v>2023-10-03_0028</v>
      </c>
      <c r="C29" s="8">
        <v>45202</v>
      </c>
      <c r="D29" s="11">
        <v>28</v>
      </c>
      <c r="E29" s="12" t="s">
        <v>15</v>
      </c>
      <c r="F29" s="6">
        <v>45168</v>
      </c>
      <c r="G29" s="9" t="s">
        <v>36</v>
      </c>
      <c r="H29" s="9">
        <f t="shared" si="1"/>
        <v>34</v>
      </c>
      <c r="I29" s="9" t="s">
        <v>17</v>
      </c>
      <c r="J29" s="9" t="s">
        <v>36</v>
      </c>
      <c r="K29" s="19">
        <v>48.11</v>
      </c>
      <c r="L29" s="22">
        <v>2.3010000000000002</v>
      </c>
      <c r="M29" s="22">
        <v>1.94</v>
      </c>
      <c r="N29" t="s">
        <v>14</v>
      </c>
      <c r="O29" t="s">
        <v>42</v>
      </c>
    </row>
    <row r="30" spans="1:18" ht="16" x14ac:dyDescent="0.4">
      <c r="A30">
        <v>89</v>
      </c>
      <c r="B30" t="str">
        <f t="shared" si="0"/>
        <v>2023-10-03_0029</v>
      </c>
      <c r="C30" s="8">
        <v>45202</v>
      </c>
      <c r="D30" s="11">
        <v>29</v>
      </c>
      <c r="E30" s="12" t="s">
        <v>15</v>
      </c>
      <c r="F30" s="6">
        <v>45175</v>
      </c>
      <c r="G30" s="9" t="s">
        <v>39</v>
      </c>
      <c r="H30" s="9">
        <f t="shared" si="1"/>
        <v>27</v>
      </c>
      <c r="I30" s="9" t="s">
        <v>17</v>
      </c>
      <c r="J30" s="9" t="s">
        <v>39</v>
      </c>
      <c r="K30" s="19">
        <v>43.085000000000001</v>
      </c>
      <c r="L30" s="22">
        <v>2.12</v>
      </c>
      <c r="M30" s="22">
        <v>1.837</v>
      </c>
      <c r="N30" t="s">
        <v>14</v>
      </c>
      <c r="O30" t="s">
        <v>45</v>
      </c>
    </row>
    <row r="31" spans="1:18" ht="16" x14ac:dyDescent="0.4">
      <c r="A31">
        <v>89</v>
      </c>
      <c r="B31" t="str">
        <f t="shared" si="0"/>
        <v>2023-10-03_0030</v>
      </c>
      <c r="C31" s="8">
        <v>45202</v>
      </c>
      <c r="D31" s="11">
        <v>30</v>
      </c>
      <c r="E31" s="12" t="s">
        <v>15</v>
      </c>
      <c r="F31" s="6">
        <v>45150</v>
      </c>
      <c r="G31" s="9" t="s">
        <v>39</v>
      </c>
      <c r="H31" s="9">
        <f t="shared" si="1"/>
        <v>52</v>
      </c>
      <c r="I31" s="9" t="s">
        <v>38</v>
      </c>
      <c r="J31" s="9" t="s">
        <v>36</v>
      </c>
      <c r="K31" s="19">
        <v>44.301000000000002</v>
      </c>
      <c r="L31" s="22">
        <v>2.1619999999999999</v>
      </c>
      <c r="M31" s="22">
        <v>1.7889999999999999</v>
      </c>
      <c r="N31" t="s">
        <v>14</v>
      </c>
      <c r="O31" t="s">
        <v>44</v>
      </c>
    </row>
    <row r="32" spans="1:18" ht="16" x14ac:dyDescent="0.4">
      <c r="A32">
        <v>89</v>
      </c>
      <c r="B32" t="str">
        <f t="shared" si="0"/>
        <v>2023-10-03_0031</v>
      </c>
      <c r="C32" s="8">
        <v>45202</v>
      </c>
      <c r="D32" s="11">
        <v>31</v>
      </c>
      <c r="E32" s="12" t="s">
        <v>15</v>
      </c>
      <c r="F32" s="6" t="s">
        <v>21</v>
      </c>
      <c r="G32" s="9" t="s">
        <v>21</v>
      </c>
      <c r="H32" s="9" t="str">
        <f t="shared" si="1"/>
        <v>NA</v>
      </c>
      <c r="I32" s="9" t="s">
        <v>38</v>
      </c>
      <c r="J32" s="9" t="s">
        <v>36</v>
      </c>
      <c r="K32" s="19">
        <v>40.450000000000003</v>
      </c>
      <c r="L32" s="22">
        <v>2</v>
      </c>
      <c r="M32" s="22">
        <v>1.6739999999999999</v>
      </c>
      <c r="N32" t="s">
        <v>14</v>
      </c>
      <c r="O32" t="s">
        <v>46</v>
      </c>
    </row>
    <row r="33" spans="1:15" ht="16" x14ac:dyDescent="0.4">
      <c r="A33">
        <v>89</v>
      </c>
      <c r="B33" t="str">
        <f t="shared" si="0"/>
        <v>2023-10-03_0032</v>
      </c>
      <c r="C33" s="8">
        <v>45202</v>
      </c>
      <c r="D33" s="11">
        <v>32</v>
      </c>
      <c r="E33" s="12" t="s">
        <v>11</v>
      </c>
      <c r="F33" s="6">
        <v>45179</v>
      </c>
      <c r="G33" s="9" t="s">
        <v>36</v>
      </c>
      <c r="H33" s="9">
        <f t="shared" si="1"/>
        <v>23</v>
      </c>
      <c r="I33" s="9" t="s">
        <v>47</v>
      </c>
      <c r="J33" s="9" t="s">
        <v>36</v>
      </c>
      <c r="K33" s="19">
        <v>47.485999999999997</v>
      </c>
      <c r="L33" s="22">
        <v>2.5179999999999998</v>
      </c>
      <c r="M33" s="22">
        <v>1.96</v>
      </c>
      <c r="N33" t="s">
        <v>14</v>
      </c>
      <c r="O33" t="s">
        <v>42</v>
      </c>
    </row>
    <row r="34" spans="1:15" ht="16" x14ac:dyDescent="0.4">
      <c r="A34">
        <v>89</v>
      </c>
      <c r="B34" t="str">
        <f t="shared" si="0"/>
        <v>2023-10-03_0033</v>
      </c>
      <c r="C34" s="8">
        <v>45202</v>
      </c>
      <c r="D34" s="11">
        <v>33</v>
      </c>
      <c r="E34" s="12" t="s">
        <v>11</v>
      </c>
      <c r="F34" s="6">
        <v>45178</v>
      </c>
      <c r="G34" s="9" t="s">
        <v>36</v>
      </c>
      <c r="H34" s="9">
        <f t="shared" si="1"/>
        <v>24</v>
      </c>
      <c r="I34" s="9" t="s">
        <v>12</v>
      </c>
      <c r="J34" s="9" t="s">
        <v>36</v>
      </c>
      <c r="K34" s="19">
        <v>47.034999999999997</v>
      </c>
      <c r="L34" s="22">
        <v>2.35</v>
      </c>
      <c r="M34" s="22">
        <v>1.849</v>
      </c>
      <c r="N34" t="s">
        <v>14</v>
      </c>
      <c r="O34" t="s">
        <v>42</v>
      </c>
    </row>
    <row r="35" spans="1:15" ht="16" x14ac:dyDescent="0.4">
      <c r="A35">
        <v>90</v>
      </c>
      <c r="B35" t="str">
        <f t="shared" si="0"/>
        <v>2023-10-03_0034</v>
      </c>
      <c r="C35" s="8">
        <v>45202</v>
      </c>
      <c r="D35" s="11">
        <v>34</v>
      </c>
      <c r="E35" s="12" t="s">
        <v>11</v>
      </c>
      <c r="F35" s="6">
        <v>45156</v>
      </c>
      <c r="G35" s="9" t="s">
        <v>36</v>
      </c>
      <c r="H35" s="9">
        <f t="shared" si="1"/>
        <v>46</v>
      </c>
      <c r="I35" s="9" t="s">
        <v>38</v>
      </c>
      <c r="J35" s="9" t="s">
        <v>36</v>
      </c>
      <c r="K35" s="19" t="s">
        <v>21</v>
      </c>
      <c r="L35" s="22">
        <v>2.544</v>
      </c>
      <c r="M35" s="22">
        <v>2.169</v>
      </c>
      <c r="N35" t="s">
        <v>16</v>
      </c>
      <c r="O35" t="s">
        <v>48</v>
      </c>
    </row>
    <row r="36" spans="1:15" ht="16" x14ac:dyDescent="0.4">
      <c r="A36">
        <v>90</v>
      </c>
      <c r="B36" t="str">
        <f t="shared" si="0"/>
        <v>2023-10-03_0035</v>
      </c>
      <c r="C36" s="8">
        <v>45202</v>
      </c>
      <c r="D36" s="11">
        <v>35</v>
      </c>
      <c r="E36" s="12" t="s">
        <v>11</v>
      </c>
      <c r="F36" s="6">
        <v>45150</v>
      </c>
      <c r="G36" s="9" t="s">
        <v>36</v>
      </c>
      <c r="H36" s="9">
        <f t="shared" si="1"/>
        <v>52</v>
      </c>
      <c r="I36" s="9" t="s">
        <v>38</v>
      </c>
      <c r="J36" s="9" t="s">
        <v>36</v>
      </c>
      <c r="K36" s="19" t="s">
        <v>21</v>
      </c>
      <c r="L36" s="22">
        <v>2.5870000000000002</v>
      </c>
      <c r="M36" s="22">
        <v>2.08</v>
      </c>
      <c r="N36" t="s">
        <v>16</v>
      </c>
      <c r="O36" t="s">
        <v>48</v>
      </c>
    </row>
    <row r="37" spans="1:15" ht="16" x14ac:dyDescent="0.4">
      <c r="A37">
        <v>90</v>
      </c>
      <c r="B37" t="str">
        <f t="shared" si="0"/>
        <v>2023-10-03_0036</v>
      </c>
      <c r="C37" s="8">
        <v>45202</v>
      </c>
      <c r="D37" s="11">
        <v>36</v>
      </c>
      <c r="E37" s="12" t="s">
        <v>11</v>
      </c>
      <c r="F37" s="6">
        <v>45151</v>
      </c>
      <c r="G37" s="9" t="s">
        <v>36</v>
      </c>
      <c r="H37" s="9">
        <f t="shared" si="1"/>
        <v>51</v>
      </c>
      <c r="I37" s="9" t="s">
        <v>12</v>
      </c>
      <c r="J37" s="9" t="s">
        <v>36</v>
      </c>
      <c r="K37" s="19">
        <v>48.329000000000001</v>
      </c>
      <c r="L37" s="22">
        <v>2.556</v>
      </c>
      <c r="M37" s="22">
        <v>2.08</v>
      </c>
      <c r="N37" t="s">
        <v>16</v>
      </c>
      <c r="O37" t="s">
        <v>48</v>
      </c>
    </row>
    <row r="38" spans="1:15" ht="16" x14ac:dyDescent="0.4">
      <c r="A38">
        <v>90</v>
      </c>
      <c r="B38" t="str">
        <f t="shared" si="0"/>
        <v>2023-10-03_0037</v>
      </c>
      <c r="C38" s="8">
        <v>45202</v>
      </c>
      <c r="D38" s="11">
        <v>37</v>
      </c>
      <c r="E38" s="12" t="s">
        <v>15</v>
      </c>
      <c r="F38" s="6">
        <v>45179</v>
      </c>
      <c r="G38" s="9" t="s">
        <v>36</v>
      </c>
      <c r="H38" s="9">
        <f t="shared" si="1"/>
        <v>23</v>
      </c>
      <c r="I38" s="9" t="s">
        <v>38</v>
      </c>
      <c r="J38" s="9" t="s">
        <v>36</v>
      </c>
      <c r="K38" s="19" t="s">
        <v>21</v>
      </c>
      <c r="L38" s="22">
        <v>2.073</v>
      </c>
      <c r="M38" s="22">
        <v>1.73</v>
      </c>
      <c r="N38" t="s">
        <v>16</v>
      </c>
      <c r="O38" t="s">
        <v>48</v>
      </c>
    </row>
    <row r="39" spans="1:15" ht="16" x14ac:dyDescent="0.4">
      <c r="A39">
        <v>90</v>
      </c>
      <c r="B39" t="str">
        <f t="shared" si="0"/>
        <v>2023-10-03_0038</v>
      </c>
      <c r="C39" s="8">
        <v>45202</v>
      </c>
      <c r="D39" s="11">
        <v>38</v>
      </c>
      <c r="E39" s="12" t="s">
        <v>11</v>
      </c>
      <c r="F39" s="6">
        <v>45172</v>
      </c>
      <c r="G39" s="9" t="s">
        <v>39</v>
      </c>
      <c r="H39" s="9">
        <f t="shared" si="1"/>
        <v>30</v>
      </c>
      <c r="I39" s="9" t="s">
        <v>17</v>
      </c>
      <c r="J39" s="9" t="s">
        <v>36</v>
      </c>
      <c r="K39" s="19">
        <v>46.847999999999999</v>
      </c>
      <c r="L39" s="22">
        <v>2.419</v>
      </c>
      <c r="M39" s="22">
        <v>2.1920000000000002</v>
      </c>
      <c r="N39" t="s">
        <v>14</v>
      </c>
      <c r="O39" t="s">
        <v>49</v>
      </c>
    </row>
    <row r="40" spans="1:15" ht="16" x14ac:dyDescent="0.4">
      <c r="A40">
        <v>90</v>
      </c>
      <c r="B40" t="str">
        <f t="shared" si="0"/>
        <v>2023-10-03_0039</v>
      </c>
      <c r="C40" s="8">
        <v>45202</v>
      </c>
      <c r="D40" s="11">
        <v>39</v>
      </c>
      <c r="E40" s="12" t="s">
        <v>11</v>
      </c>
      <c r="F40" s="6">
        <v>45156</v>
      </c>
      <c r="G40" s="9" t="s">
        <v>39</v>
      </c>
      <c r="H40" s="9">
        <f t="shared" si="1"/>
        <v>46</v>
      </c>
      <c r="I40" s="9" t="s">
        <v>38</v>
      </c>
      <c r="J40" s="9" t="s">
        <v>36</v>
      </c>
      <c r="K40" s="19" t="s">
        <v>21</v>
      </c>
      <c r="L40" s="22">
        <v>2.6589999999999998</v>
      </c>
      <c r="M40" s="22">
        <v>2.0659999999999998</v>
      </c>
      <c r="N40" t="s">
        <v>16</v>
      </c>
      <c r="O40" t="s">
        <v>50</v>
      </c>
    </row>
    <row r="41" spans="1:15" ht="16" x14ac:dyDescent="0.4">
      <c r="A41">
        <v>90</v>
      </c>
      <c r="B41" t="str">
        <f t="shared" si="0"/>
        <v>2023-10-03_0040</v>
      </c>
      <c r="C41" s="8">
        <v>45202</v>
      </c>
      <c r="D41" s="11">
        <v>40</v>
      </c>
      <c r="E41" s="12" t="s">
        <v>15</v>
      </c>
      <c r="F41" s="6">
        <v>45179</v>
      </c>
      <c r="G41" s="9" t="s">
        <v>39</v>
      </c>
      <c r="H41" s="9">
        <f t="shared" si="1"/>
        <v>23</v>
      </c>
      <c r="I41" s="9" t="s">
        <v>37</v>
      </c>
      <c r="J41" s="9" t="s">
        <v>36</v>
      </c>
      <c r="K41" s="19" t="s">
        <v>21</v>
      </c>
      <c r="L41" s="22">
        <v>2.3620000000000001</v>
      </c>
      <c r="M41" s="22">
        <v>1.9550000000000001</v>
      </c>
      <c r="N41" t="s">
        <v>16</v>
      </c>
      <c r="O41" t="s">
        <v>50</v>
      </c>
    </row>
    <row r="42" spans="1:15" ht="16" x14ac:dyDescent="0.4">
      <c r="A42">
        <v>90</v>
      </c>
      <c r="B42" t="str">
        <f t="shared" si="0"/>
        <v>2023-10-03_0041</v>
      </c>
      <c r="C42" s="8">
        <v>45202</v>
      </c>
      <c r="D42" s="11">
        <v>41</v>
      </c>
      <c r="E42" s="12" t="s">
        <v>11</v>
      </c>
      <c r="F42" s="6">
        <v>45166</v>
      </c>
      <c r="G42" s="9" t="s">
        <v>36</v>
      </c>
      <c r="H42" s="9">
        <f t="shared" si="1"/>
        <v>36</v>
      </c>
      <c r="I42" s="9" t="s">
        <v>12</v>
      </c>
      <c r="J42" s="9" t="s">
        <v>39</v>
      </c>
      <c r="K42" s="19" t="s">
        <v>21</v>
      </c>
      <c r="L42" s="22">
        <v>2.1190000000000002</v>
      </c>
      <c r="M42" s="22">
        <v>1.901</v>
      </c>
      <c r="N42" t="s">
        <v>16</v>
      </c>
      <c r="O42" t="s">
        <v>51</v>
      </c>
    </row>
    <row r="43" spans="1:15" ht="16" x14ac:dyDescent="0.4">
      <c r="A43">
        <v>90</v>
      </c>
      <c r="B43" t="str">
        <f t="shared" si="0"/>
        <v>2023-10-03_0042</v>
      </c>
      <c r="C43" s="8">
        <v>45202</v>
      </c>
      <c r="D43" s="11">
        <v>42</v>
      </c>
      <c r="E43" s="12" t="s">
        <v>11</v>
      </c>
      <c r="F43" s="6">
        <v>45156</v>
      </c>
      <c r="G43" s="9" t="s">
        <v>36</v>
      </c>
      <c r="H43" s="9">
        <f t="shared" si="1"/>
        <v>46</v>
      </c>
      <c r="I43" s="9" t="s">
        <v>38</v>
      </c>
      <c r="J43" s="9" t="s">
        <v>36</v>
      </c>
      <c r="K43" s="19" t="s">
        <v>21</v>
      </c>
      <c r="L43" s="22">
        <v>2.496</v>
      </c>
      <c r="M43" s="22">
        <v>2.0579999999999998</v>
      </c>
      <c r="N43" t="s">
        <v>16</v>
      </c>
      <c r="O43" t="s">
        <v>48</v>
      </c>
    </row>
    <row r="44" spans="1:15" ht="16" x14ac:dyDescent="0.4">
      <c r="A44">
        <v>90</v>
      </c>
      <c r="B44" t="str">
        <f t="shared" si="0"/>
        <v>2023-10-03_0043</v>
      </c>
      <c r="C44" s="8">
        <v>45202</v>
      </c>
      <c r="D44" s="11">
        <v>43</v>
      </c>
      <c r="E44" s="12" t="s">
        <v>11</v>
      </c>
      <c r="F44" s="6">
        <v>45166</v>
      </c>
      <c r="G44" s="9" t="s">
        <v>36</v>
      </c>
      <c r="H44" s="9">
        <f t="shared" si="1"/>
        <v>36</v>
      </c>
      <c r="I44" s="9" t="s">
        <v>38</v>
      </c>
      <c r="J44" s="9" t="s">
        <v>36</v>
      </c>
      <c r="K44" s="19" t="s">
        <v>21</v>
      </c>
      <c r="L44" s="22">
        <v>2.3610000000000002</v>
      </c>
      <c r="M44" s="22">
        <v>1.94</v>
      </c>
      <c r="N44" t="s">
        <v>16</v>
      </c>
      <c r="O44" t="s">
        <v>48</v>
      </c>
    </row>
    <row r="45" spans="1:15" ht="16" x14ac:dyDescent="0.4">
      <c r="A45">
        <v>90</v>
      </c>
      <c r="B45" t="str">
        <f t="shared" si="0"/>
        <v>2023-10-03_0044</v>
      </c>
      <c r="C45" s="8">
        <v>45202</v>
      </c>
      <c r="D45" s="11">
        <v>44</v>
      </c>
      <c r="E45" s="12" t="s">
        <v>15</v>
      </c>
      <c r="F45" s="6">
        <v>45175</v>
      </c>
      <c r="G45" s="9" t="s">
        <v>36</v>
      </c>
      <c r="H45" s="9">
        <f t="shared" si="1"/>
        <v>27</v>
      </c>
      <c r="I45" s="9" t="s">
        <v>37</v>
      </c>
      <c r="J45" s="9" t="s">
        <v>36</v>
      </c>
      <c r="K45" s="19" t="s">
        <v>21</v>
      </c>
      <c r="L45" s="22">
        <v>2.3039999999999998</v>
      </c>
      <c r="M45" s="22">
        <v>1.8720000000000001</v>
      </c>
      <c r="N45" t="s">
        <v>16</v>
      </c>
      <c r="O45" t="s">
        <v>48</v>
      </c>
    </row>
    <row r="46" spans="1:15" ht="16" x14ac:dyDescent="0.4">
      <c r="A46">
        <v>90</v>
      </c>
      <c r="B46" t="str">
        <f t="shared" si="0"/>
        <v>2023-10-03_0045</v>
      </c>
      <c r="C46" s="8">
        <v>45202</v>
      </c>
      <c r="D46" s="11">
        <v>45</v>
      </c>
      <c r="E46" s="12" t="s">
        <v>11</v>
      </c>
      <c r="F46" s="6" t="s">
        <v>21</v>
      </c>
      <c r="G46" s="9" t="s">
        <v>21</v>
      </c>
      <c r="H46" s="9" t="str">
        <f t="shared" si="1"/>
        <v>NA</v>
      </c>
      <c r="I46" s="9" t="s">
        <v>37</v>
      </c>
      <c r="J46" s="9" t="s">
        <v>39</v>
      </c>
      <c r="K46" s="19">
        <v>42.179000000000002</v>
      </c>
      <c r="L46" s="22">
        <v>2.2879999999999998</v>
      </c>
      <c r="M46" s="22">
        <v>2.137</v>
      </c>
      <c r="N46" t="s">
        <v>14</v>
      </c>
      <c r="O46" t="s">
        <v>52</v>
      </c>
    </row>
    <row r="47" spans="1:15" ht="16" x14ac:dyDescent="0.4">
      <c r="A47">
        <v>91</v>
      </c>
      <c r="B47" t="str">
        <f t="shared" si="0"/>
        <v>2023-10-03_0046</v>
      </c>
      <c r="C47" s="8">
        <v>45202</v>
      </c>
      <c r="D47" s="11">
        <v>46</v>
      </c>
      <c r="E47" s="12" t="s">
        <v>15</v>
      </c>
      <c r="F47" s="6">
        <v>45172</v>
      </c>
      <c r="G47" s="9" t="s">
        <v>39</v>
      </c>
      <c r="H47" s="9">
        <f t="shared" si="1"/>
        <v>30</v>
      </c>
      <c r="I47" s="9" t="s">
        <v>18</v>
      </c>
      <c r="J47" s="9" t="s">
        <v>36</v>
      </c>
      <c r="K47" s="19">
        <v>47.497</v>
      </c>
      <c r="L47" s="22">
        <v>2.4470000000000001</v>
      </c>
      <c r="M47" s="22">
        <v>2.0329999999999999</v>
      </c>
      <c r="N47" t="s">
        <v>14</v>
      </c>
      <c r="O47" t="s">
        <v>40</v>
      </c>
    </row>
    <row r="48" spans="1:15" ht="16" x14ac:dyDescent="0.4">
      <c r="A48">
        <v>91</v>
      </c>
      <c r="B48" t="str">
        <f t="shared" si="0"/>
        <v>2023-10-03_0047</v>
      </c>
      <c r="C48" s="8">
        <v>45202</v>
      </c>
      <c r="D48" s="11">
        <v>47</v>
      </c>
      <c r="E48" s="12" t="s">
        <v>15</v>
      </c>
      <c r="F48" s="6">
        <v>45185</v>
      </c>
      <c r="G48" s="9" t="s">
        <v>39</v>
      </c>
      <c r="H48" s="9">
        <f t="shared" si="1"/>
        <v>17</v>
      </c>
      <c r="I48" s="9" t="s">
        <v>18</v>
      </c>
      <c r="J48" s="9" t="s">
        <v>36</v>
      </c>
      <c r="K48" s="19">
        <v>42.48</v>
      </c>
      <c r="L48" s="22">
        <v>2.1840000000000002</v>
      </c>
      <c r="M48" s="22">
        <v>1.7669999999999999</v>
      </c>
      <c r="N48" t="s">
        <v>14</v>
      </c>
      <c r="O48" t="s">
        <v>40</v>
      </c>
    </row>
    <row r="49" spans="1:15" ht="16" x14ac:dyDescent="0.4">
      <c r="A49">
        <v>91</v>
      </c>
      <c r="B49" t="str">
        <f t="shared" si="0"/>
        <v>2023-10-03_0048</v>
      </c>
      <c r="C49" s="8">
        <v>45202</v>
      </c>
      <c r="D49" s="11">
        <v>48</v>
      </c>
      <c r="E49" s="12" t="s">
        <v>15</v>
      </c>
      <c r="F49" s="6">
        <v>45180</v>
      </c>
      <c r="G49" s="9" t="s">
        <v>36</v>
      </c>
      <c r="H49" s="9">
        <f t="shared" si="1"/>
        <v>22</v>
      </c>
      <c r="I49" s="9" t="s">
        <v>18</v>
      </c>
      <c r="J49" s="9" t="s">
        <v>36</v>
      </c>
      <c r="K49" s="19">
        <v>48.302999999999997</v>
      </c>
      <c r="L49" s="22">
        <v>2.367</v>
      </c>
      <c r="M49" s="22">
        <v>1.899</v>
      </c>
      <c r="N49" t="s">
        <v>14</v>
      </c>
    </row>
    <row r="50" spans="1:15" ht="16" x14ac:dyDescent="0.4">
      <c r="A50">
        <v>91</v>
      </c>
      <c r="B50" t="str">
        <f t="shared" si="0"/>
        <v>2023-10-03_0049</v>
      </c>
      <c r="C50" s="8">
        <v>45202</v>
      </c>
      <c r="D50" s="11">
        <v>49</v>
      </c>
      <c r="E50" s="12" t="s">
        <v>15</v>
      </c>
      <c r="F50" s="6">
        <v>45196</v>
      </c>
      <c r="G50" s="9" t="s">
        <v>39</v>
      </c>
      <c r="H50" s="9">
        <f t="shared" si="1"/>
        <v>6</v>
      </c>
      <c r="I50" s="9" t="s">
        <v>18</v>
      </c>
      <c r="J50" s="9" t="s">
        <v>36</v>
      </c>
      <c r="K50" s="19">
        <v>46.156999999999996</v>
      </c>
      <c r="L50" s="22">
        <v>2.2610000000000001</v>
      </c>
      <c r="M50" s="22">
        <v>2.0419999999999998</v>
      </c>
      <c r="N50" t="s">
        <v>14</v>
      </c>
      <c r="O50" t="s">
        <v>40</v>
      </c>
    </row>
    <row r="51" spans="1:15" ht="16" x14ac:dyDescent="0.4">
      <c r="A51">
        <v>91</v>
      </c>
      <c r="B51" t="str">
        <f t="shared" si="0"/>
        <v>2023-10-03_0050</v>
      </c>
      <c r="C51" s="8">
        <v>45202</v>
      </c>
      <c r="D51" s="11">
        <v>50</v>
      </c>
      <c r="E51" s="12" t="s">
        <v>15</v>
      </c>
      <c r="F51" s="6">
        <v>45179</v>
      </c>
      <c r="G51" s="9" t="s">
        <v>36</v>
      </c>
      <c r="H51" s="9">
        <f t="shared" si="1"/>
        <v>23</v>
      </c>
      <c r="I51" s="9" t="s">
        <v>18</v>
      </c>
      <c r="J51" s="9" t="s">
        <v>36</v>
      </c>
      <c r="K51" s="19">
        <v>45.637999999999998</v>
      </c>
      <c r="L51" s="22">
        <v>2.218</v>
      </c>
      <c r="M51" s="22">
        <v>1.8959999999999999</v>
      </c>
      <c r="N51" t="s">
        <v>14</v>
      </c>
    </row>
    <row r="52" spans="1:15" ht="16" x14ac:dyDescent="0.4">
      <c r="A52">
        <v>91</v>
      </c>
      <c r="B52" t="str">
        <f t="shared" si="0"/>
        <v>2023-10-03_0051</v>
      </c>
      <c r="C52" s="8">
        <v>45202</v>
      </c>
      <c r="D52" s="11">
        <v>51</v>
      </c>
      <c r="E52" s="12" t="s">
        <v>15</v>
      </c>
      <c r="F52" s="6">
        <v>45174</v>
      </c>
      <c r="G52" s="9" t="s">
        <v>36</v>
      </c>
      <c r="H52" s="9">
        <f t="shared" si="1"/>
        <v>28</v>
      </c>
      <c r="I52" s="9" t="s">
        <v>18</v>
      </c>
      <c r="J52" s="9" t="s">
        <v>36</v>
      </c>
      <c r="K52" s="19">
        <v>47.78</v>
      </c>
      <c r="L52" s="22">
        <v>2.4169999999999998</v>
      </c>
      <c r="M52" s="22">
        <v>2.0910000000000002</v>
      </c>
      <c r="N52" t="s">
        <v>14</v>
      </c>
    </row>
    <row r="53" spans="1:15" ht="16" x14ac:dyDescent="0.4">
      <c r="A53">
        <v>91</v>
      </c>
      <c r="B53" t="str">
        <f t="shared" si="0"/>
        <v>2023-10-03_0052</v>
      </c>
      <c r="C53" s="8">
        <v>45202</v>
      </c>
      <c r="D53" s="11">
        <v>52</v>
      </c>
      <c r="E53" s="12" t="s">
        <v>15</v>
      </c>
      <c r="F53" s="6">
        <v>45189</v>
      </c>
      <c r="G53" s="9" t="s">
        <v>36</v>
      </c>
      <c r="H53" s="9">
        <f t="shared" si="1"/>
        <v>13</v>
      </c>
      <c r="I53" s="9" t="s">
        <v>18</v>
      </c>
      <c r="J53" s="9" t="s">
        <v>36</v>
      </c>
      <c r="K53" s="19">
        <v>44.433999999999997</v>
      </c>
      <c r="L53" s="22">
        <v>2.16</v>
      </c>
      <c r="M53" s="22">
        <v>1.89</v>
      </c>
      <c r="N53" t="s">
        <v>14</v>
      </c>
    </row>
    <row r="54" spans="1:15" ht="16" x14ac:dyDescent="0.4">
      <c r="A54">
        <v>91</v>
      </c>
      <c r="B54" t="str">
        <f t="shared" si="0"/>
        <v>2023-10-03_0053</v>
      </c>
      <c r="C54" s="8">
        <v>45202</v>
      </c>
      <c r="D54" s="11">
        <v>53</v>
      </c>
      <c r="E54" s="12" t="s">
        <v>11</v>
      </c>
      <c r="F54" s="6">
        <v>45162</v>
      </c>
      <c r="G54" s="9" t="s">
        <v>36</v>
      </c>
      <c r="H54" s="9">
        <f t="shared" si="1"/>
        <v>40</v>
      </c>
      <c r="I54" s="9" t="s">
        <v>18</v>
      </c>
      <c r="J54" s="9" t="s">
        <v>36</v>
      </c>
      <c r="K54" s="19">
        <v>50.619</v>
      </c>
      <c r="L54" s="22">
        <v>2.6379999999999999</v>
      </c>
      <c r="M54" s="22">
        <v>2.081</v>
      </c>
      <c r="N54" t="s">
        <v>14</v>
      </c>
    </row>
    <row r="55" spans="1:15" ht="16" x14ac:dyDescent="0.4">
      <c r="A55">
        <v>91</v>
      </c>
      <c r="B55" t="str">
        <f t="shared" si="0"/>
        <v>2023-10-03_0054</v>
      </c>
      <c r="C55" s="8">
        <v>45202</v>
      </c>
      <c r="D55" s="11">
        <v>54</v>
      </c>
      <c r="E55" s="12" t="s">
        <v>11</v>
      </c>
      <c r="F55" s="6">
        <v>45178</v>
      </c>
      <c r="G55" s="9" t="s">
        <v>36</v>
      </c>
      <c r="H55" s="9">
        <f t="shared" si="1"/>
        <v>24</v>
      </c>
      <c r="I55" s="9" t="s">
        <v>18</v>
      </c>
      <c r="J55" s="9" t="s">
        <v>36</v>
      </c>
      <c r="K55" s="19">
        <v>51.561</v>
      </c>
      <c r="L55" s="22">
        <v>2.7</v>
      </c>
      <c r="M55" s="22">
        <v>2.2040000000000002</v>
      </c>
      <c r="N55" t="s">
        <v>14</v>
      </c>
    </row>
    <row r="56" spans="1:15" ht="16" x14ac:dyDescent="0.4">
      <c r="A56">
        <v>91</v>
      </c>
      <c r="B56" t="str">
        <f t="shared" si="0"/>
        <v>2023-10-03_0055</v>
      </c>
      <c r="C56" s="8">
        <v>45202</v>
      </c>
      <c r="D56" s="11">
        <v>55</v>
      </c>
      <c r="E56" s="12" t="s">
        <v>15</v>
      </c>
      <c r="F56" s="6">
        <v>45180</v>
      </c>
      <c r="G56" s="9" t="s">
        <v>36</v>
      </c>
      <c r="H56" s="9">
        <f t="shared" si="1"/>
        <v>22</v>
      </c>
      <c r="I56" s="9" t="s">
        <v>18</v>
      </c>
      <c r="J56" s="9" t="s">
        <v>36</v>
      </c>
      <c r="K56" s="19">
        <v>41.277000000000001</v>
      </c>
      <c r="L56" s="22">
        <v>2.246</v>
      </c>
      <c r="M56" s="22">
        <v>1.909</v>
      </c>
      <c r="N56" t="s">
        <v>14</v>
      </c>
    </row>
    <row r="57" spans="1:15" ht="16" x14ac:dyDescent="0.4">
      <c r="A57">
        <v>91</v>
      </c>
      <c r="B57" t="str">
        <f t="shared" si="0"/>
        <v>2023-10-03_0056</v>
      </c>
      <c r="C57" s="8">
        <v>45202</v>
      </c>
      <c r="D57" s="11">
        <v>56</v>
      </c>
      <c r="E57" s="12" t="s">
        <v>15</v>
      </c>
      <c r="F57" s="6">
        <v>45178</v>
      </c>
      <c r="G57" s="9" t="s">
        <v>36</v>
      </c>
      <c r="H57" s="9">
        <f t="shared" si="1"/>
        <v>24</v>
      </c>
      <c r="I57" s="9" t="s">
        <v>18</v>
      </c>
      <c r="J57" s="9" t="s">
        <v>36</v>
      </c>
      <c r="K57" s="19">
        <v>48.302999999999997</v>
      </c>
      <c r="L57" s="22">
        <v>2.4980000000000002</v>
      </c>
      <c r="M57" s="22">
        <v>2.0779999999999998</v>
      </c>
      <c r="N57" t="s">
        <v>14</v>
      </c>
    </row>
    <row r="58" spans="1:15" ht="16" x14ac:dyDescent="0.4">
      <c r="A58">
        <v>91</v>
      </c>
      <c r="B58" t="str">
        <f t="shared" si="0"/>
        <v>2023-10-03_0057</v>
      </c>
      <c r="C58" s="8">
        <v>45202</v>
      </c>
      <c r="D58" s="11">
        <v>57</v>
      </c>
      <c r="E58" s="12" t="s">
        <v>15</v>
      </c>
      <c r="F58" s="6">
        <v>45172</v>
      </c>
      <c r="G58" s="9" t="s">
        <v>36</v>
      </c>
      <c r="H58" s="9">
        <f t="shared" si="1"/>
        <v>30</v>
      </c>
      <c r="I58" s="9" t="s">
        <v>18</v>
      </c>
      <c r="J58" s="9" t="s">
        <v>36</v>
      </c>
      <c r="K58" s="19">
        <v>47.926000000000002</v>
      </c>
      <c r="L58" s="22">
        <v>2.4769999999999999</v>
      </c>
      <c r="M58" s="22">
        <v>2.0630000000000002</v>
      </c>
      <c r="N58" t="s">
        <v>14</v>
      </c>
    </row>
    <row r="59" spans="1:15" ht="16" x14ac:dyDescent="0.4">
      <c r="A59">
        <v>91</v>
      </c>
      <c r="B59" t="str">
        <f t="shared" si="0"/>
        <v>2023-10-03_0058</v>
      </c>
      <c r="C59" s="8">
        <v>45202</v>
      </c>
      <c r="D59" s="11">
        <v>58</v>
      </c>
      <c r="E59" s="12" t="s">
        <v>15</v>
      </c>
      <c r="F59" s="6">
        <v>45178</v>
      </c>
      <c r="G59" s="9" t="s">
        <v>36</v>
      </c>
      <c r="H59" s="9">
        <f t="shared" si="1"/>
        <v>24</v>
      </c>
      <c r="I59" s="9" t="s">
        <v>18</v>
      </c>
      <c r="J59" s="9" t="s">
        <v>36</v>
      </c>
      <c r="K59" s="19">
        <v>45.127000000000002</v>
      </c>
      <c r="L59" s="22">
        <v>2.2480000000000002</v>
      </c>
      <c r="M59" s="22">
        <v>2.0379999999999998</v>
      </c>
      <c r="N59" t="s">
        <v>14</v>
      </c>
    </row>
    <row r="60" spans="1:15" ht="16" x14ac:dyDescent="0.4">
      <c r="A60">
        <v>91</v>
      </c>
      <c r="B60" t="str">
        <f t="shared" si="0"/>
        <v>2023-10-03_0059</v>
      </c>
      <c r="C60" s="8">
        <v>45202</v>
      </c>
      <c r="D60" s="11">
        <v>59</v>
      </c>
      <c r="E60" s="12" t="s">
        <v>15</v>
      </c>
      <c r="F60" s="6">
        <v>45175</v>
      </c>
      <c r="G60" s="9" t="s">
        <v>36</v>
      </c>
      <c r="H60" s="9">
        <f t="shared" si="1"/>
        <v>27</v>
      </c>
      <c r="I60" s="9" t="s">
        <v>18</v>
      </c>
      <c r="J60" s="9" t="s">
        <v>36</v>
      </c>
      <c r="K60" s="19">
        <v>49.079000000000001</v>
      </c>
      <c r="L60" s="22">
        <v>2.1970000000000001</v>
      </c>
      <c r="M60" s="22">
        <v>1.907</v>
      </c>
      <c r="N60" t="s">
        <v>14</v>
      </c>
    </row>
    <row r="61" spans="1:15" ht="16" x14ac:dyDescent="0.4">
      <c r="A61">
        <v>91</v>
      </c>
      <c r="B61" t="str">
        <f t="shared" si="0"/>
        <v>2023-10-03_0060</v>
      </c>
      <c r="C61" s="8">
        <v>45202</v>
      </c>
      <c r="D61" s="11">
        <v>60</v>
      </c>
      <c r="E61" s="12" t="s">
        <v>15</v>
      </c>
      <c r="F61" s="6">
        <v>45178</v>
      </c>
      <c r="G61" s="9" t="s">
        <v>36</v>
      </c>
      <c r="H61" s="9">
        <f t="shared" si="1"/>
        <v>24</v>
      </c>
      <c r="I61" s="9" t="s">
        <v>18</v>
      </c>
      <c r="J61" s="9" t="s">
        <v>36</v>
      </c>
      <c r="K61" s="19">
        <v>44.92</v>
      </c>
      <c r="L61" s="22">
        <v>2.2269999999999999</v>
      </c>
      <c r="M61" s="22">
        <v>1.946</v>
      </c>
      <c r="N61" t="s">
        <v>14</v>
      </c>
    </row>
    <row r="62" spans="1:15" ht="16" x14ac:dyDescent="0.4">
      <c r="A62">
        <v>92</v>
      </c>
      <c r="B62" t="str">
        <f t="shared" si="0"/>
        <v>2023-10-03_0061</v>
      </c>
      <c r="C62" s="8">
        <v>45202</v>
      </c>
      <c r="D62" s="11">
        <v>61</v>
      </c>
      <c r="E62" s="12" t="s">
        <v>11</v>
      </c>
      <c r="F62" s="6">
        <v>45178</v>
      </c>
      <c r="G62" s="9" t="s">
        <v>36</v>
      </c>
      <c r="H62" s="9">
        <f t="shared" si="1"/>
        <v>24</v>
      </c>
      <c r="I62" s="9" t="s">
        <v>18</v>
      </c>
      <c r="J62" s="9" t="s">
        <v>36</v>
      </c>
      <c r="K62" s="19">
        <v>47.698999999999998</v>
      </c>
      <c r="L62" s="22">
        <v>2.3690000000000002</v>
      </c>
      <c r="M62" s="22">
        <v>1.853</v>
      </c>
      <c r="N62" t="s">
        <v>14</v>
      </c>
    </row>
    <row r="63" spans="1:15" ht="16" x14ac:dyDescent="0.4">
      <c r="A63">
        <v>92</v>
      </c>
      <c r="B63" t="str">
        <f t="shared" si="0"/>
        <v>2023-10-03_0062</v>
      </c>
      <c r="C63" s="8">
        <v>45202</v>
      </c>
      <c r="D63" s="11">
        <v>62</v>
      </c>
      <c r="E63" s="12" t="s">
        <v>11</v>
      </c>
      <c r="F63" s="6">
        <v>45180</v>
      </c>
      <c r="G63" s="9" t="s">
        <v>36</v>
      </c>
      <c r="H63" s="9">
        <f t="shared" si="1"/>
        <v>22</v>
      </c>
      <c r="I63" s="9" t="s">
        <v>18</v>
      </c>
      <c r="J63" s="9" t="s">
        <v>36</v>
      </c>
      <c r="K63" s="19">
        <v>47.491</v>
      </c>
      <c r="L63" s="22">
        <v>2.6219999999999999</v>
      </c>
      <c r="M63" s="22">
        <v>2.1</v>
      </c>
      <c r="N63" t="s">
        <v>14</v>
      </c>
    </row>
    <row r="64" spans="1:15" ht="16" x14ac:dyDescent="0.4">
      <c r="A64">
        <v>92</v>
      </c>
      <c r="B64" t="str">
        <f t="shared" si="0"/>
        <v>2023-10-03_0063</v>
      </c>
      <c r="C64" s="8">
        <v>45202</v>
      </c>
      <c r="D64" s="11">
        <v>63</v>
      </c>
      <c r="E64" s="12" t="s">
        <v>15</v>
      </c>
      <c r="F64" s="6">
        <v>45180</v>
      </c>
      <c r="G64" s="9" t="s">
        <v>36</v>
      </c>
      <c r="H64" s="9">
        <f t="shared" si="1"/>
        <v>22</v>
      </c>
      <c r="I64" s="9" t="s">
        <v>18</v>
      </c>
      <c r="J64" s="9" t="s">
        <v>36</v>
      </c>
      <c r="K64" s="19">
        <v>41.944000000000003</v>
      </c>
      <c r="L64" s="22">
        <v>2.2130000000000001</v>
      </c>
      <c r="M64" s="22">
        <v>1.91</v>
      </c>
      <c r="N64" t="s">
        <v>14</v>
      </c>
      <c r="O64" t="s">
        <v>42</v>
      </c>
    </row>
    <row r="65" spans="1:15" ht="16" x14ac:dyDescent="0.4">
      <c r="A65">
        <v>92</v>
      </c>
      <c r="B65" t="str">
        <f t="shared" si="0"/>
        <v>2023-10-03_0064</v>
      </c>
      <c r="C65" s="8">
        <v>45202</v>
      </c>
      <c r="D65" s="11">
        <v>64</v>
      </c>
      <c r="E65" s="12" t="s">
        <v>11</v>
      </c>
      <c r="F65" s="6">
        <v>45174</v>
      </c>
      <c r="G65" s="9" t="s">
        <v>36</v>
      </c>
      <c r="H65" s="9">
        <f t="shared" si="1"/>
        <v>28</v>
      </c>
      <c r="I65" s="9" t="s">
        <v>18</v>
      </c>
      <c r="J65" s="9" t="s">
        <v>36</v>
      </c>
      <c r="K65" s="19">
        <v>43.167000000000002</v>
      </c>
      <c r="L65" s="22">
        <v>2.319</v>
      </c>
      <c r="M65" s="22">
        <v>1.909</v>
      </c>
      <c r="N65" t="s">
        <v>14</v>
      </c>
    </row>
    <row r="66" spans="1:15" ht="16" x14ac:dyDescent="0.4">
      <c r="A66">
        <v>92</v>
      </c>
      <c r="B66" t="str">
        <f t="shared" ref="B66:B129" si="2">IF(ISBLANK(C66),NA(),_xlfn.CONCAT(TEXT(C66,"YYYY-MM-DD"),"_",TEXT(D66,"0000")))</f>
        <v>2023-10-03_0065</v>
      </c>
      <c r="C66" s="8">
        <v>45202</v>
      </c>
      <c r="D66" s="11">
        <v>65</v>
      </c>
      <c r="E66" s="12" t="s">
        <v>11</v>
      </c>
      <c r="F66" s="6">
        <v>45178</v>
      </c>
      <c r="G66" s="9" t="s">
        <v>36</v>
      </c>
      <c r="H66" s="9">
        <f t="shared" ref="H66:H129" si="3">IF(F66="NA","NA", DATEDIF(F66,C66,"d"))</f>
        <v>24</v>
      </c>
      <c r="I66" s="9" t="s">
        <v>18</v>
      </c>
      <c r="J66" s="9" t="s">
        <v>36</v>
      </c>
      <c r="K66" s="19">
        <v>48.393000000000001</v>
      </c>
      <c r="L66" s="22">
        <v>2.3959999999999999</v>
      </c>
      <c r="M66" s="22">
        <v>1.9890000000000001</v>
      </c>
      <c r="N66" t="s">
        <v>14</v>
      </c>
    </row>
    <row r="67" spans="1:15" ht="16" x14ac:dyDescent="0.4">
      <c r="A67">
        <v>92</v>
      </c>
      <c r="B67" t="str">
        <f t="shared" si="2"/>
        <v>2023-10-03_0066</v>
      </c>
      <c r="C67" s="8">
        <v>45202</v>
      </c>
      <c r="D67" s="11">
        <v>66</v>
      </c>
      <c r="E67" s="12" t="s">
        <v>11</v>
      </c>
      <c r="F67" s="6">
        <v>45180</v>
      </c>
      <c r="G67" s="9" t="s">
        <v>39</v>
      </c>
      <c r="H67" s="9">
        <f t="shared" si="3"/>
        <v>22</v>
      </c>
      <c r="I67" s="9" t="s">
        <v>18</v>
      </c>
      <c r="J67" s="9" t="s">
        <v>36</v>
      </c>
      <c r="K67" s="19">
        <v>42.408000000000001</v>
      </c>
      <c r="L67" s="22">
        <v>2.21</v>
      </c>
      <c r="M67" s="22">
        <v>2.0640000000000001</v>
      </c>
      <c r="N67" t="s">
        <v>14</v>
      </c>
      <c r="O67" t="s">
        <v>44</v>
      </c>
    </row>
    <row r="68" spans="1:15" ht="16" x14ac:dyDescent="0.4">
      <c r="A68">
        <v>93</v>
      </c>
      <c r="B68" t="str">
        <f t="shared" si="2"/>
        <v>2023-10-03_0067</v>
      </c>
      <c r="C68" s="8">
        <v>45202</v>
      </c>
      <c r="D68" s="11">
        <v>67</v>
      </c>
      <c r="E68" s="12" t="s">
        <v>15</v>
      </c>
      <c r="F68" s="6">
        <v>45178</v>
      </c>
      <c r="G68" s="9" t="s">
        <v>36</v>
      </c>
      <c r="H68" s="9">
        <f t="shared" si="3"/>
        <v>24</v>
      </c>
      <c r="I68" s="9" t="s">
        <v>18</v>
      </c>
      <c r="J68" s="9" t="s">
        <v>36</v>
      </c>
      <c r="K68" s="19">
        <v>43.116999999999997</v>
      </c>
      <c r="L68" s="22">
        <v>2.113</v>
      </c>
      <c r="M68" s="22">
        <v>1.7230000000000001</v>
      </c>
      <c r="N68" t="s">
        <v>14</v>
      </c>
    </row>
    <row r="69" spans="1:15" ht="31.5" x14ac:dyDescent="0.4">
      <c r="A69">
        <v>93</v>
      </c>
      <c r="B69" t="str">
        <f t="shared" si="2"/>
        <v>2023-10-03_0068</v>
      </c>
      <c r="C69" s="8">
        <v>45202</v>
      </c>
      <c r="D69" s="11">
        <v>68</v>
      </c>
      <c r="E69" s="12" t="s">
        <v>15</v>
      </c>
      <c r="F69" s="6">
        <v>45129</v>
      </c>
      <c r="G69" s="9" t="s">
        <v>39</v>
      </c>
      <c r="H69" s="9">
        <f t="shared" si="3"/>
        <v>73</v>
      </c>
      <c r="I69" s="9" t="s">
        <v>18</v>
      </c>
      <c r="J69" s="9" t="s">
        <v>36</v>
      </c>
      <c r="K69" s="19">
        <v>43.220999999999997</v>
      </c>
      <c r="L69" s="22">
        <v>2.0870000000000002</v>
      </c>
      <c r="M69" s="22">
        <v>1.847</v>
      </c>
      <c r="N69" t="s">
        <v>14</v>
      </c>
      <c r="O69" s="21" t="s">
        <v>53</v>
      </c>
    </row>
    <row r="70" spans="1:15" ht="16" x14ac:dyDescent="0.4">
      <c r="A70">
        <v>93</v>
      </c>
      <c r="B70" t="str">
        <f t="shared" si="2"/>
        <v>2023-10-03_0069</v>
      </c>
      <c r="C70" s="8">
        <v>45202</v>
      </c>
      <c r="D70" s="11">
        <v>69</v>
      </c>
      <c r="E70" s="12" t="s">
        <v>11</v>
      </c>
      <c r="F70" s="6">
        <v>45172</v>
      </c>
      <c r="G70" s="9" t="s">
        <v>39</v>
      </c>
      <c r="H70" s="9">
        <f t="shared" si="3"/>
        <v>30</v>
      </c>
      <c r="I70" s="9" t="s">
        <v>18</v>
      </c>
      <c r="J70" s="9" t="s">
        <v>36</v>
      </c>
      <c r="K70" s="19">
        <v>42.168999999999997</v>
      </c>
      <c r="L70" s="22">
        <v>2.2440000000000002</v>
      </c>
      <c r="M70" s="22">
        <v>1.837</v>
      </c>
      <c r="N70" t="s">
        <v>14</v>
      </c>
      <c r="O70" t="s">
        <v>40</v>
      </c>
    </row>
    <row r="71" spans="1:15" ht="16" x14ac:dyDescent="0.4">
      <c r="A71">
        <v>93</v>
      </c>
      <c r="B71" t="str">
        <f t="shared" si="2"/>
        <v>2023-10-03_0070</v>
      </c>
      <c r="C71" s="8">
        <v>45202</v>
      </c>
      <c r="D71" s="11">
        <v>70</v>
      </c>
      <c r="E71" s="12" t="s">
        <v>11</v>
      </c>
      <c r="F71" s="6">
        <v>45178</v>
      </c>
      <c r="G71" s="9" t="s">
        <v>36</v>
      </c>
      <c r="H71" s="9">
        <f t="shared" si="3"/>
        <v>24</v>
      </c>
      <c r="I71" s="9" t="s">
        <v>18</v>
      </c>
      <c r="J71" s="9" t="s">
        <v>36</v>
      </c>
      <c r="K71" s="19">
        <v>39.881</v>
      </c>
      <c r="L71" s="22">
        <v>2.1269999999999998</v>
      </c>
      <c r="M71" s="22">
        <v>1.7929999999999999</v>
      </c>
      <c r="N71" t="s">
        <v>14</v>
      </c>
    </row>
    <row r="72" spans="1:15" ht="31.5" x14ac:dyDescent="0.4">
      <c r="A72">
        <v>93</v>
      </c>
      <c r="B72" t="str">
        <f t="shared" si="2"/>
        <v>2023-10-03_0071</v>
      </c>
      <c r="C72" s="8">
        <v>45202</v>
      </c>
      <c r="D72" s="11">
        <v>71</v>
      </c>
      <c r="E72" s="12" t="s">
        <v>11</v>
      </c>
      <c r="F72" s="6">
        <v>45173</v>
      </c>
      <c r="G72" s="9" t="s">
        <v>39</v>
      </c>
      <c r="H72" s="9">
        <f t="shared" si="3"/>
        <v>29</v>
      </c>
      <c r="I72" s="9" t="s">
        <v>18</v>
      </c>
      <c r="J72" s="9" t="s">
        <v>39</v>
      </c>
      <c r="K72" s="19">
        <v>43.834000000000003</v>
      </c>
      <c r="L72" s="22">
        <v>2.3319999999999999</v>
      </c>
      <c r="M72" s="22">
        <v>1.8740000000000001</v>
      </c>
      <c r="N72" t="s">
        <v>14</v>
      </c>
      <c r="O72" s="21" t="s">
        <v>54</v>
      </c>
    </row>
    <row r="73" spans="1:15" ht="16" x14ac:dyDescent="0.4">
      <c r="A73">
        <v>93</v>
      </c>
      <c r="B73" t="str">
        <f t="shared" si="2"/>
        <v>2023-10-03_0072</v>
      </c>
      <c r="C73" s="8">
        <v>45202</v>
      </c>
      <c r="D73" s="11">
        <v>72</v>
      </c>
      <c r="E73" s="12" t="s">
        <v>15</v>
      </c>
      <c r="F73" s="6">
        <v>45178</v>
      </c>
      <c r="G73" s="9" t="s">
        <v>36</v>
      </c>
      <c r="H73" s="9">
        <f t="shared" si="3"/>
        <v>24</v>
      </c>
      <c r="I73" s="9" t="s">
        <v>18</v>
      </c>
      <c r="J73" s="9" t="s">
        <v>36</v>
      </c>
      <c r="K73" s="19">
        <v>40.692</v>
      </c>
      <c r="L73" s="22">
        <v>2.081</v>
      </c>
      <c r="M73" s="22">
        <v>1.796</v>
      </c>
      <c r="N73" t="s">
        <v>14</v>
      </c>
    </row>
    <row r="74" spans="1:15" ht="31.5" x14ac:dyDescent="0.4">
      <c r="A74">
        <v>93</v>
      </c>
      <c r="B74" t="str">
        <f t="shared" si="2"/>
        <v>2023-10-03_0073</v>
      </c>
      <c r="C74" s="8">
        <v>45202</v>
      </c>
      <c r="D74" s="11">
        <v>73</v>
      </c>
      <c r="E74" s="12" t="s">
        <v>15</v>
      </c>
      <c r="F74" s="6">
        <v>45172</v>
      </c>
      <c r="G74" s="9" t="s">
        <v>39</v>
      </c>
      <c r="H74" s="9">
        <f t="shared" si="3"/>
        <v>30</v>
      </c>
      <c r="I74" s="9" t="s">
        <v>18</v>
      </c>
      <c r="J74" s="9" t="s">
        <v>36</v>
      </c>
      <c r="K74" s="19" t="s">
        <v>21</v>
      </c>
      <c r="L74" s="22">
        <v>2.1440000000000001</v>
      </c>
      <c r="M74" s="22">
        <v>1.8660000000000001</v>
      </c>
      <c r="N74" t="s">
        <v>16</v>
      </c>
      <c r="O74" s="21" t="s">
        <v>50</v>
      </c>
    </row>
    <row r="75" spans="1:15" ht="31.5" x14ac:dyDescent="0.4">
      <c r="A75">
        <v>93</v>
      </c>
      <c r="B75" t="str">
        <f t="shared" si="2"/>
        <v>2023-10-03_0074</v>
      </c>
      <c r="C75" s="8">
        <v>45202</v>
      </c>
      <c r="D75" s="11">
        <v>74</v>
      </c>
      <c r="E75" s="12" t="s">
        <v>11</v>
      </c>
      <c r="F75" s="6">
        <v>45156</v>
      </c>
      <c r="G75" s="9" t="s">
        <v>39</v>
      </c>
      <c r="H75" s="9">
        <f t="shared" si="3"/>
        <v>46</v>
      </c>
      <c r="I75" s="9" t="s">
        <v>18</v>
      </c>
      <c r="J75" s="9" t="s">
        <v>36</v>
      </c>
      <c r="K75" s="19" t="s">
        <v>21</v>
      </c>
      <c r="L75" s="22">
        <v>2.214</v>
      </c>
      <c r="M75" s="22">
        <v>1.897</v>
      </c>
      <c r="N75" t="s">
        <v>16</v>
      </c>
      <c r="O75" s="21" t="s">
        <v>50</v>
      </c>
    </row>
    <row r="76" spans="1:15" ht="16" x14ac:dyDescent="0.4">
      <c r="A76">
        <v>82</v>
      </c>
      <c r="B76" t="str">
        <f t="shared" si="2"/>
        <v>2023-09-28_0001</v>
      </c>
      <c r="C76" s="8">
        <v>45197</v>
      </c>
      <c r="D76" s="11">
        <v>1</v>
      </c>
      <c r="E76" s="12" t="s">
        <v>11</v>
      </c>
      <c r="F76" s="6">
        <v>45178</v>
      </c>
      <c r="G76" s="9" t="s">
        <v>36</v>
      </c>
      <c r="H76" s="9">
        <f t="shared" si="3"/>
        <v>19</v>
      </c>
      <c r="I76" s="9" t="s">
        <v>12</v>
      </c>
      <c r="J76" s="9" t="s">
        <v>36</v>
      </c>
      <c r="K76" s="19">
        <v>48.823999999999998</v>
      </c>
      <c r="L76" s="22">
        <v>2.4169999999999998</v>
      </c>
      <c r="M76" s="22">
        <v>2</v>
      </c>
      <c r="N76" t="s">
        <v>14</v>
      </c>
    </row>
    <row r="77" spans="1:15" ht="16" x14ac:dyDescent="0.4">
      <c r="A77">
        <v>82</v>
      </c>
      <c r="B77" t="str">
        <f t="shared" si="2"/>
        <v>2023-09-28_0002</v>
      </c>
      <c r="C77" s="8">
        <v>45197</v>
      </c>
      <c r="D77" s="11">
        <v>2</v>
      </c>
      <c r="E77" s="12" t="s">
        <v>15</v>
      </c>
      <c r="F77" s="6">
        <v>45180</v>
      </c>
      <c r="G77" s="9" t="s">
        <v>36</v>
      </c>
      <c r="H77" s="9">
        <f t="shared" si="3"/>
        <v>17</v>
      </c>
      <c r="I77" s="9" t="s">
        <v>17</v>
      </c>
      <c r="J77" s="9" t="s">
        <v>36</v>
      </c>
      <c r="K77" s="19">
        <v>53.98</v>
      </c>
      <c r="L77" s="22">
        <v>2.7639999999999998</v>
      </c>
      <c r="M77" s="22">
        <v>2.234</v>
      </c>
      <c r="N77" t="s">
        <v>14</v>
      </c>
    </row>
    <row r="78" spans="1:15" ht="16" x14ac:dyDescent="0.4">
      <c r="A78">
        <v>82</v>
      </c>
      <c r="B78" t="str">
        <f t="shared" si="2"/>
        <v>2023-09-28_0003</v>
      </c>
      <c r="C78" s="8">
        <v>45197</v>
      </c>
      <c r="D78" s="11">
        <v>3</v>
      </c>
      <c r="E78" s="12" t="s">
        <v>11</v>
      </c>
      <c r="F78" s="6">
        <v>45160</v>
      </c>
      <c r="G78" s="9" t="s">
        <v>36</v>
      </c>
      <c r="H78" s="9">
        <f t="shared" si="3"/>
        <v>37</v>
      </c>
      <c r="I78" s="9" t="s">
        <v>38</v>
      </c>
      <c r="J78" s="9" t="s">
        <v>36</v>
      </c>
      <c r="K78" s="19">
        <v>51.267000000000003</v>
      </c>
      <c r="L78" s="22">
        <v>2.597</v>
      </c>
      <c r="M78" s="22">
        <v>2.1949999999999998</v>
      </c>
      <c r="N78" t="s">
        <v>14</v>
      </c>
    </row>
    <row r="79" spans="1:15" ht="16" x14ac:dyDescent="0.4">
      <c r="A79">
        <v>82</v>
      </c>
      <c r="B79" t="str">
        <f t="shared" si="2"/>
        <v>2023-09-28_0004</v>
      </c>
      <c r="C79" s="8">
        <v>45197</v>
      </c>
      <c r="D79" s="11">
        <v>4</v>
      </c>
      <c r="E79" s="12" t="s">
        <v>15</v>
      </c>
      <c r="F79" s="6">
        <v>45175</v>
      </c>
      <c r="G79" s="9" t="s">
        <v>36</v>
      </c>
      <c r="H79" s="9">
        <f t="shared" si="3"/>
        <v>22</v>
      </c>
      <c r="I79" s="9" t="s">
        <v>12</v>
      </c>
      <c r="J79" s="9" t="s">
        <v>36</v>
      </c>
      <c r="K79" s="19">
        <v>45.649000000000001</v>
      </c>
      <c r="L79" s="22">
        <v>2.323</v>
      </c>
      <c r="M79" s="22">
        <v>1.972</v>
      </c>
      <c r="N79" t="s">
        <v>14</v>
      </c>
    </row>
    <row r="80" spans="1:15" ht="16" x14ac:dyDescent="0.4">
      <c r="A80">
        <v>82</v>
      </c>
      <c r="B80" t="str">
        <f t="shared" si="2"/>
        <v>2023-09-28_0005</v>
      </c>
      <c r="C80" s="8">
        <v>45197</v>
      </c>
      <c r="D80" s="11">
        <v>5</v>
      </c>
      <c r="E80" s="12" t="s">
        <v>11</v>
      </c>
      <c r="F80" s="6">
        <v>45166</v>
      </c>
      <c r="G80" s="9" t="s">
        <v>36</v>
      </c>
      <c r="H80" s="9">
        <f t="shared" si="3"/>
        <v>31</v>
      </c>
      <c r="I80" s="9" t="s">
        <v>38</v>
      </c>
      <c r="J80" s="9" t="s">
        <v>36</v>
      </c>
      <c r="K80" s="19">
        <v>47.131999999999998</v>
      </c>
      <c r="L80" s="22">
        <v>2.3039999999999998</v>
      </c>
      <c r="M80" s="22">
        <v>1.9219999999999999</v>
      </c>
      <c r="N80" t="s">
        <v>14</v>
      </c>
    </row>
    <row r="81" spans="1:15" ht="16" x14ac:dyDescent="0.4">
      <c r="A81">
        <v>83</v>
      </c>
      <c r="B81" t="str">
        <f t="shared" si="2"/>
        <v>2023-09-28_0006</v>
      </c>
      <c r="C81" s="8">
        <v>45197</v>
      </c>
      <c r="D81" s="11">
        <v>6</v>
      </c>
      <c r="E81" s="12" t="s">
        <v>15</v>
      </c>
      <c r="F81" s="6">
        <v>45158</v>
      </c>
      <c r="G81" s="9" t="s">
        <v>39</v>
      </c>
      <c r="H81" s="9">
        <f t="shared" si="3"/>
        <v>39</v>
      </c>
      <c r="I81" s="9" t="s">
        <v>12</v>
      </c>
      <c r="J81" s="9" t="s">
        <v>36</v>
      </c>
      <c r="K81" s="19">
        <v>42.426000000000002</v>
      </c>
      <c r="L81" s="22">
        <v>2.1389999999999998</v>
      </c>
      <c r="M81" s="22">
        <v>1.8109999999999999</v>
      </c>
      <c r="N81" t="s">
        <v>14</v>
      </c>
      <c r="O81" t="s">
        <v>40</v>
      </c>
    </row>
    <row r="82" spans="1:15" ht="16" x14ac:dyDescent="0.4">
      <c r="A82">
        <v>84</v>
      </c>
      <c r="B82" t="str">
        <f t="shared" si="2"/>
        <v>2023-09-28_0007</v>
      </c>
      <c r="C82" s="8">
        <v>45197</v>
      </c>
      <c r="D82" s="11">
        <v>7</v>
      </c>
      <c r="E82" s="12" t="s">
        <v>15</v>
      </c>
      <c r="F82" s="6">
        <v>45170</v>
      </c>
      <c r="G82" s="9" t="s">
        <v>36</v>
      </c>
      <c r="H82" s="9">
        <f t="shared" si="3"/>
        <v>27</v>
      </c>
      <c r="I82" s="9" t="s">
        <v>12</v>
      </c>
      <c r="J82" s="9" t="s">
        <v>36</v>
      </c>
      <c r="K82" s="19">
        <v>51.228000000000002</v>
      </c>
      <c r="L82" s="22">
        <v>2.4289999999999998</v>
      </c>
      <c r="M82" s="22">
        <v>2.004</v>
      </c>
      <c r="N82" t="s">
        <v>14</v>
      </c>
    </row>
    <row r="83" spans="1:15" ht="16" x14ac:dyDescent="0.4">
      <c r="A83">
        <v>84</v>
      </c>
      <c r="B83" t="str">
        <f t="shared" si="2"/>
        <v>2023-09-28_0008</v>
      </c>
      <c r="C83" s="8">
        <v>45197</v>
      </c>
      <c r="D83" s="11">
        <v>8</v>
      </c>
      <c r="E83" s="12" t="s">
        <v>15</v>
      </c>
      <c r="F83" s="6">
        <v>45178</v>
      </c>
      <c r="G83" s="9" t="s">
        <v>36</v>
      </c>
      <c r="H83" s="9">
        <f t="shared" si="3"/>
        <v>19</v>
      </c>
      <c r="I83" s="9" t="s">
        <v>38</v>
      </c>
      <c r="J83" s="9" t="s">
        <v>36</v>
      </c>
      <c r="K83" s="19">
        <v>45.685000000000002</v>
      </c>
      <c r="L83" s="22">
        <v>2.3029999999999999</v>
      </c>
      <c r="M83" s="22">
        <v>1.8979999999999999</v>
      </c>
      <c r="N83" t="s">
        <v>14</v>
      </c>
    </row>
    <row r="84" spans="1:15" ht="16" x14ac:dyDescent="0.4">
      <c r="A84">
        <v>84</v>
      </c>
      <c r="B84" t="str">
        <f t="shared" si="2"/>
        <v>2023-09-28_0009</v>
      </c>
      <c r="C84" s="8">
        <v>45197</v>
      </c>
      <c r="D84" s="11">
        <v>9</v>
      </c>
      <c r="E84" s="12" t="s">
        <v>11</v>
      </c>
      <c r="F84" s="6">
        <v>45178</v>
      </c>
      <c r="G84" s="9" t="s">
        <v>36</v>
      </c>
      <c r="H84" s="9">
        <f t="shared" si="3"/>
        <v>19</v>
      </c>
      <c r="I84" s="9" t="s">
        <v>18</v>
      </c>
      <c r="J84" s="9" t="s">
        <v>36</v>
      </c>
      <c r="K84" s="19">
        <v>43.881999999999998</v>
      </c>
      <c r="L84" s="22">
        <v>2.1989999999999998</v>
      </c>
      <c r="M84" s="22">
        <v>1.8480000000000001</v>
      </c>
      <c r="N84" t="s">
        <v>14</v>
      </c>
      <c r="O84" t="s">
        <v>42</v>
      </c>
    </row>
    <row r="85" spans="1:15" ht="16" x14ac:dyDescent="0.4">
      <c r="A85">
        <v>84</v>
      </c>
      <c r="B85" t="str">
        <f t="shared" si="2"/>
        <v>2023-09-28_0010</v>
      </c>
      <c r="C85" s="8">
        <v>45197</v>
      </c>
      <c r="D85" s="11">
        <v>10</v>
      </c>
      <c r="E85" s="12" t="s">
        <v>15</v>
      </c>
      <c r="F85" s="6">
        <v>45170</v>
      </c>
      <c r="G85" s="9" t="s">
        <v>36</v>
      </c>
      <c r="H85" s="9">
        <f t="shared" si="3"/>
        <v>27</v>
      </c>
      <c r="I85" s="9" t="s">
        <v>17</v>
      </c>
      <c r="J85" s="9" t="s">
        <v>36</v>
      </c>
      <c r="K85" s="19" t="s">
        <v>21</v>
      </c>
      <c r="L85" s="22">
        <v>2.2570000000000001</v>
      </c>
      <c r="M85" s="22">
        <v>1.8080000000000001</v>
      </c>
      <c r="N85" t="s">
        <v>14</v>
      </c>
      <c r="O85" t="s">
        <v>42</v>
      </c>
    </row>
    <row r="86" spans="1:15" ht="16" x14ac:dyDescent="0.4">
      <c r="A86">
        <v>84</v>
      </c>
      <c r="B86" t="str">
        <f t="shared" si="2"/>
        <v>2023-09-28_0011</v>
      </c>
      <c r="C86" s="8">
        <v>45197</v>
      </c>
      <c r="D86" s="11">
        <v>11</v>
      </c>
      <c r="E86" s="12" t="s">
        <v>15</v>
      </c>
      <c r="F86" s="6">
        <v>45194</v>
      </c>
      <c r="G86" s="9" t="s">
        <v>36</v>
      </c>
      <c r="H86" s="9">
        <f t="shared" si="3"/>
        <v>3</v>
      </c>
      <c r="I86" s="9" t="s">
        <v>38</v>
      </c>
      <c r="J86" s="9" t="s">
        <v>36</v>
      </c>
      <c r="K86" s="19">
        <v>46.587000000000003</v>
      </c>
      <c r="L86" s="22">
        <v>2.395</v>
      </c>
      <c r="M86" s="22">
        <v>2.0089999999999999</v>
      </c>
      <c r="N86" t="s">
        <v>14</v>
      </c>
    </row>
    <row r="87" spans="1:15" ht="16" x14ac:dyDescent="0.4">
      <c r="A87">
        <v>84</v>
      </c>
      <c r="B87" t="str">
        <f t="shared" si="2"/>
        <v>2023-09-28_0012</v>
      </c>
      <c r="C87" s="8">
        <v>45197</v>
      </c>
      <c r="D87" s="11">
        <v>12</v>
      </c>
      <c r="E87" s="12" t="s">
        <v>11</v>
      </c>
      <c r="F87" s="6">
        <v>45166</v>
      </c>
      <c r="G87" s="9" t="s">
        <v>36</v>
      </c>
      <c r="H87" s="9">
        <f t="shared" si="3"/>
        <v>31</v>
      </c>
      <c r="I87" s="9" t="s">
        <v>38</v>
      </c>
      <c r="J87" s="9" t="s">
        <v>36</v>
      </c>
      <c r="K87" s="19">
        <v>46.27</v>
      </c>
      <c r="L87" s="22">
        <v>2.3149999999999999</v>
      </c>
      <c r="M87" s="22">
        <v>1.9710000000000001</v>
      </c>
      <c r="N87" t="s">
        <v>14</v>
      </c>
    </row>
    <row r="88" spans="1:15" ht="16" x14ac:dyDescent="0.4">
      <c r="A88">
        <v>84</v>
      </c>
      <c r="B88" t="str">
        <f t="shared" si="2"/>
        <v>2023-09-28_0013</v>
      </c>
      <c r="C88" s="8">
        <v>45197</v>
      </c>
      <c r="D88" s="11">
        <v>13</v>
      </c>
      <c r="E88" s="12" t="s">
        <v>15</v>
      </c>
      <c r="F88" s="6">
        <v>45178</v>
      </c>
      <c r="G88" s="9" t="s">
        <v>36</v>
      </c>
      <c r="H88" s="9">
        <f t="shared" si="3"/>
        <v>19</v>
      </c>
      <c r="I88" s="9" t="s">
        <v>38</v>
      </c>
      <c r="J88" s="9" t="s">
        <v>36</v>
      </c>
      <c r="K88" s="19">
        <v>41.752000000000002</v>
      </c>
      <c r="L88" s="22">
        <v>2.1320000000000001</v>
      </c>
      <c r="M88" s="22">
        <v>1.7589999999999999</v>
      </c>
      <c r="N88" t="s">
        <v>14</v>
      </c>
    </row>
    <row r="89" spans="1:15" ht="16" x14ac:dyDescent="0.4">
      <c r="A89">
        <v>84</v>
      </c>
      <c r="B89" t="str">
        <f t="shared" si="2"/>
        <v>2023-09-28_0014</v>
      </c>
      <c r="C89" s="8">
        <v>45197</v>
      </c>
      <c r="D89" s="11">
        <v>14</v>
      </c>
      <c r="E89" s="12" t="s">
        <v>11</v>
      </c>
      <c r="F89" s="6">
        <v>45181</v>
      </c>
      <c r="G89" s="9" t="s">
        <v>36</v>
      </c>
      <c r="H89" s="9">
        <f t="shared" si="3"/>
        <v>16</v>
      </c>
      <c r="I89" s="9" t="s">
        <v>12</v>
      </c>
      <c r="J89" s="9" t="s">
        <v>36</v>
      </c>
      <c r="K89" s="19">
        <v>47.65</v>
      </c>
      <c r="L89" s="22">
        <v>2.399</v>
      </c>
      <c r="M89" s="22">
        <v>2.0409999999999999</v>
      </c>
      <c r="N89" t="s">
        <v>14</v>
      </c>
      <c r="O89" t="s">
        <v>55</v>
      </c>
    </row>
    <row r="90" spans="1:15" ht="16" x14ac:dyDescent="0.4">
      <c r="A90">
        <v>84</v>
      </c>
      <c r="B90" t="str">
        <f t="shared" si="2"/>
        <v>2023-09-28_0015</v>
      </c>
      <c r="C90" s="8">
        <v>45197</v>
      </c>
      <c r="D90" s="11">
        <v>15</v>
      </c>
      <c r="E90" s="12" t="s">
        <v>15</v>
      </c>
      <c r="F90" s="6">
        <v>45184</v>
      </c>
      <c r="G90" s="9" t="s">
        <v>39</v>
      </c>
      <c r="H90" s="9">
        <f t="shared" si="3"/>
        <v>13</v>
      </c>
      <c r="I90" s="9" t="s">
        <v>18</v>
      </c>
      <c r="J90" s="9" t="s">
        <v>39</v>
      </c>
      <c r="K90" s="19">
        <v>44.085999999999999</v>
      </c>
      <c r="L90" s="22">
        <v>2.2730000000000001</v>
      </c>
      <c r="M90" s="22">
        <v>1.925</v>
      </c>
      <c r="N90" t="s">
        <v>14</v>
      </c>
      <c r="O90" t="s">
        <v>56</v>
      </c>
    </row>
    <row r="91" spans="1:15" ht="16" x14ac:dyDescent="0.4">
      <c r="A91">
        <v>85</v>
      </c>
      <c r="B91" t="str">
        <f t="shared" si="2"/>
        <v>2023-09-28_0016</v>
      </c>
      <c r="C91" s="8">
        <v>45197</v>
      </c>
      <c r="D91" s="11">
        <v>16</v>
      </c>
      <c r="E91" s="12" t="s">
        <v>11</v>
      </c>
      <c r="F91" s="6">
        <v>45172</v>
      </c>
      <c r="G91" s="9" t="s">
        <v>39</v>
      </c>
      <c r="H91" s="9">
        <f t="shared" si="3"/>
        <v>25</v>
      </c>
      <c r="I91" s="9" t="s">
        <v>18</v>
      </c>
      <c r="J91" s="9" t="s">
        <v>36</v>
      </c>
      <c r="K91" s="19">
        <v>47.131999999999998</v>
      </c>
      <c r="L91" s="22">
        <v>2.4049999999999998</v>
      </c>
      <c r="M91" s="22">
        <v>1.903</v>
      </c>
      <c r="N91" t="s">
        <v>14</v>
      </c>
      <c r="O91" t="s">
        <v>44</v>
      </c>
    </row>
    <row r="92" spans="1:15" ht="16" x14ac:dyDescent="0.4">
      <c r="A92">
        <v>85</v>
      </c>
      <c r="B92" t="str">
        <f t="shared" si="2"/>
        <v>2023-09-28_0017</v>
      </c>
      <c r="C92" s="8">
        <v>45197</v>
      </c>
      <c r="D92" s="11">
        <v>17</v>
      </c>
      <c r="E92" s="12" t="s">
        <v>11</v>
      </c>
      <c r="F92" s="6">
        <v>45195</v>
      </c>
      <c r="G92" s="9" t="s">
        <v>36</v>
      </c>
      <c r="H92" s="9">
        <f t="shared" si="3"/>
        <v>2</v>
      </c>
      <c r="I92" s="9" t="s">
        <v>12</v>
      </c>
      <c r="J92" s="9" t="s">
        <v>36</v>
      </c>
      <c r="K92" s="19">
        <v>41.363</v>
      </c>
      <c r="L92" s="22">
        <v>2.0150000000000001</v>
      </c>
      <c r="M92" s="22">
        <v>1.734</v>
      </c>
      <c r="N92" t="s">
        <v>14</v>
      </c>
    </row>
    <row r="93" spans="1:15" ht="16" x14ac:dyDescent="0.4">
      <c r="A93">
        <v>85</v>
      </c>
      <c r="B93" t="str">
        <f t="shared" si="2"/>
        <v>2023-09-28_0018</v>
      </c>
      <c r="C93" s="8">
        <v>45197</v>
      </c>
      <c r="D93" s="11">
        <v>18</v>
      </c>
      <c r="E93" s="12" t="s">
        <v>11</v>
      </c>
      <c r="F93" s="6">
        <v>45156</v>
      </c>
      <c r="G93" s="9" t="s">
        <v>36</v>
      </c>
      <c r="H93" s="9">
        <f t="shared" si="3"/>
        <v>41</v>
      </c>
      <c r="I93" s="9" t="s">
        <v>38</v>
      </c>
      <c r="J93" s="9" t="s">
        <v>36</v>
      </c>
      <c r="K93" s="19" t="s">
        <v>21</v>
      </c>
      <c r="L93" s="22">
        <v>2.431</v>
      </c>
      <c r="M93" s="22">
        <v>1.9710000000000001</v>
      </c>
      <c r="N93" t="s">
        <v>14</v>
      </c>
      <c r="O93" t="s">
        <v>42</v>
      </c>
    </row>
    <row r="94" spans="1:15" ht="16" x14ac:dyDescent="0.4">
      <c r="A94">
        <v>85</v>
      </c>
      <c r="B94" t="str">
        <f t="shared" si="2"/>
        <v>2023-09-28_0019</v>
      </c>
      <c r="C94" s="8">
        <v>45197</v>
      </c>
      <c r="D94" s="11">
        <v>19</v>
      </c>
      <c r="E94" s="12" t="s">
        <v>11</v>
      </c>
      <c r="F94" s="6">
        <v>45178</v>
      </c>
      <c r="G94" s="9" t="s">
        <v>36</v>
      </c>
      <c r="H94" s="9">
        <f t="shared" si="3"/>
        <v>19</v>
      </c>
      <c r="I94" s="9" t="s">
        <v>12</v>
      </c>
      <c r="J94" s="9" t="s">
        <v>36</v>
      </c>
      <c r="K94" s="19" t="s">
        <v>21</v>
      </c>
      <c r="L94" s="22">
        <v>2.4060000000000001</v>
      </c>
      <c r="M94" s="22">
        <v>1.9850000000000001</v>
      </c>
      <c r="N94" t="s">
        <v>16</v>
      </c>
      <c r="O94" t="s">
        <v>48</v>
      </c>
    </row>
    <row r="95" spans="1:15" ht="16" x14ac:dyDescent="0.4">
      <c r="A95">
        <v>85</v>
      </c>
      <c r="B95" t="str">
        <f t="shared" si="2"/>
        <v>2023-09-28_0020</v>
      </c>
      <c r="C95" s="8">
        <v>45197</v>
      </c>
      <c r="D95" s="11">
        <v>20</v>
      </c>
      <c r="E95" s="12" t="s">
        <v>15</v>
      </c>
      <c r="F95" s="6">
        <v>45178</v>
      </c>
      <c r="G95" s="9" t="s">
        <v>36</v>
      </c>
      <c r="H95" s="9">
        <f t="shared" si="3"/>
        <v>19</v>
      </c>
      <c r="I95" s="9" t="s">
        <v>18</v>
      </c>
      <c r="J95" s="9" t="s">
        <v>36</v>
      </c>
      <c r="K95" s="19">
        <v>46.89</v>
      </c>
      <c r="L95" s="22">
        <v>2.2309999999999999</v>
      </c>
      <c r="M95" s="22">
        <v>1.915</v>
      </c>
      <c r="N95" t="s">
        <v>14</v>
      </c>
    </row>
    <row r="96" spans="1:15" ht="16" x14ac:dyDescent="0.4">
      <c r="A96">
        <v>85</v>
      </c>
      <c r="B96" t="str">
        <f t="shared" si="2"/>
        <v>2023-09-28_0021</v>
      </c>
      <c r="C96" s="8">
        <v>45197</v>
      </c>
      <c r="D96" s="11">
        <v>21</v>
      </c>
      <c r="E96" s="12" t="s">
        <v>11</v>
      </c>
      <c r="F96" s="6">
        <v>45175</v>
      </c>
      <c r="G96" s="9" t="s">
        <v>36</v>
      </c>
      <c r="H96" s="9">
        <f t="shared" si="3"/>
        <v>22</v>
      </c>
      <c r="I96" s="9" t="s">
        <v>18</v>
      </c>
      <c r="J96" s="9" t="s">
        <v>36</v>
      </c>
      <c r="K96" s="19">
        <v>42.174999999999997</v>
      </c>
      <c r="L96" s="22">
        <v>2.3540000000000001</v>
      </c>
      <c r="M96" s="22">
        <v>2.0619999999999998</v>
      </c>
      <c r="N96" t="s">
        <v>16</v>
      </c>
      <c r="O96" t="s">
        <v>48</v>
      </c>
    </row>
    <row r="97" spans="1:15" ht="16" x14ac:dyDescent="0.4">
      <c r="A97">
        <v>85</v>
      </c>
      <c r="B97" t="str">
        <f t="shared" si="2"/>
        <v>2023-09-28_0022</v>
      </c>
      <c r="C97" s="8">
        <v>45197</v>
      </c>
      <c r="D97" s="11">
        <v>22</v>
      </c>
      <c r="E97" s="12" t="s">
        <v>11</v>
      </c>
      <c r="F97" s="6">
        <v>45150</v>
      </c>
      <c r="G97" s="9" t="s">
        <v>36</v>
      </c>
      <c r="H97" s="9">
        <f t="shared" si="3"/>
        <v>47</v>
      </c>
      <c r="I97" s="9" t="s">
        <v>12</v>
      </c>
      <c r="J97" s="9" t="s">
        <v>36</v>
      </c>
      <c r="K97" s="19" t="s">
        <v>21</v>
      </c>
      <c r="L97" s="22">
        <v>2.7080000000000002</v>
      </c>
      <c r="M97" s="22">
        <v>2.0830000000000002</v>
      </c>
      <c r="N97" t="s">
        <v>16</v>
      </c>
      <c r="O97" t="s">
        <v>48</v>
      </c>
    </row>
    <row r="98" spans="1:15" ht="16" x14ac:dyDescent="0.4">
      <c r="A98">
        <v>85</v>
      </c>
      <c r="B98" t="str">
        <f t="shared" si="2"/>
        <v>2023-09-28_0023</v>
      </c>
      <c r="C98" s="8">
        <v>45197</v>
      </c>
      <c r="D98" s="11">
        <v>23</v>
      </c>
      <c r="E98" s="12" t="s">
        <v>11</v>
      </c>
      <c r="F98" s="6">
        <v>45157</v>
      </c>
      <c r="G98" s="9" t="s">
        <v>36</v>
      </c>
      <c r="H98" s="9">
        <f t="shared" si="3"/>
        <v>40</v>
      </c>
      <c r="I98" s="9" t="s">
        <v>12</v>
      </c>
      <c r="J98" s="9" t="s">
        <v>36</v>
      </c>
      <c r="K98" s="19" t="s">
        <v>21</v>
      </c>
      <c r="L98" s="22">
        <v>2.6150000000000002</v>
      </c>
      <c r="M98" s="22">
        <v>1.97</v>
      </c>
      <c r="N98" t="s">
        <v>16</v>
      </c>
      <c r="O98" t="s">
        <v>48</v>
      </c>
    </row>
    <row r="99" spans="1:15" ht="16" x14ac:dyDescent="0.4">
      <c r="A99">
        <v>85</v>
      </c>
      <c r="B99" t="str">
        <f t="shared" si="2"/>
        <v>2023-09-28_0024</v>
      </c>
      <c r="C99" s="8">
        <v>45197</v>
      </c>
      <c r="D99" s="11">
        <v>24</v>
      </c>
      <c r="E99" s="12" t="s">
        <v>11</v>
      </c>
      <c r="F99" s="6">
        <v>45178</v>
      </c>
      <c r="G99" s="9" t="s">
        <v>36</v>
      </c>
      <c r="H99" s="9">
        <f t="shared" si="3"/>
        <v>19</v>
      </c>
      <c r="I99" s="9" t="s">
        <v>12</v>
      </c>
      <c r="J99" s="9" t="s">
        <v>36</v>
      </c>
      <c r="K99" s="19" t="s">
        <v>21</v>
      </c>
      <c r="L99" s="22">
        <v>2.4169999999999998</v>
      </c>
      <c r="M99" s="22">
        <v>1.9279999999999999</v>
      </c>
      <c r="N99" t="s">
        <v>16</v>
      </c>
      <c r="O99" t="s">
        <v>48</v>
      </c>
    </row>
    <row r="100" spans="1:15" ht="16" x14ac:dyDescent="0.4">
      <c r="A100">
        <v>80</v>
      </c>
      <c r="B100" t="str">
        <f t="shared" si="2"/>
        <v>2023-09-26_0001</v>
      </c>
      <c r="C100" s="8">
        <v>45195</v>
      </c>
      <c r="D100" s="11">
        <v>1</v>
      </c>
      <c r="E100" s="12" t="s">
        <v>15</v>
      </c>
      <c r="F100" s="6">
        <v>45168</v>
      </c>
      <c r="G100" s="9" t="s">
        <v>36</v>
      </c>
      <c r="H100" s="9">
        <f t="shared" si="3"/>
        <v>27</v>
      </c>
      <c r="I100" s="9" t="s">
        <v>18</v>
      </c>
      <c r="J100" s="9" t="s">
        <v>36</v>
      </c>
      <c r="K100" s="19">
        <v>48.27</v>
      </c>
      <c r="L100" s="22">
        <v>2.4</v>
      </c>
      <c r="M100" s="22">
        <v>2.0190000000000001</v>
      </c>
      <c r="N100" t="s">
        <v>14</v>
      </c>
    </row>
    <row r="101" spans="1:15" ht="16" x14ac:dyDescent="0.4">
      <c r="A101">
        <v>80</v>
      </c>
      <c r="B101" t="str">
        <f t="shared" si="2"/>
        <v>2023-09-26_0002</v>
      </c>
      <c r="C101" s="8">
        <v>45195</v>
      </c>
      <c r="D101" s="11">
        <v>2</v>
      </c>
      <c r="E101" s="12" t="s">
        <v>15</v>
      </c>
      <c r="F101" s="6">
        <v>45163</v>
      </c>
      <c r="G101" s="9" t="s">
        <v>36</v>
      </c>
      <c r="H101" s="9">
        <f t="shared" si="3"/>
        <v>32</v>
      </c>
      <c r="I101" s="9" t="s">
        <v>38</v>
      </c>
      <c r="J101" s="9" t="s">
        <v>36</v>
      </c>
      <c r="K101" s="19">
        <v>48.683</v>
      </c>
      <c r="L101" s="22">
        <v>2.2290000000000001</v>
      </c>
      <c r="M101" s="22">
        <v>1.8680000000000001</v>
      </c>
      <c r="N101" t="s">
        <v>14</v>
      </c>
    </row>
    <row r="102" spans="1:15" ht="16" x14ac:dyDescent="0.4">
      <c r="A102">
        <v>81</v>
      </c>
      <c r="B102" t="str">
        <f t="shared" si="2"/>
        <v>2023-09-26_0003</v>
      </c>
      <c r="C102" s="8">
        <v>45195</v>
      </c>
      <c r="D102" s="11">
        <v>3</v>
      </c>
      <c r="E102" s="12" t="s">
        <v>15</v>
      </c>
      <c r="F102" s="6">
        <v>45168</v>
      </c>
      <c r="G102" s="9" t="s">
        <v>36</v>
      </c>
      <c r="H102" s="9">
        <f t="shared" si="3"/>
        <v>27</v>
      </c>
      <c r="I102" s="9" t="s">
        <v>38</v>
      </c>
      <c r="J102" s="9" t="s">
        <v>36</v>
      </c>
      <c r="K102" s="19">
        <v>49.780999999999999</v>
      </c>
      <c r="L102" s="22">
        <v>2.41</v>
      </c>
      <c r="M102" s="22">
        <v>2.016</v>
      </c>
      <c r="N102" t="s">
        <v>14</v>
      </c>
    </row>
    <row r="103" spans="1:15" ht="16" x14ac:dyDescent="0.4">
      <c r="A103">
        <v>81</v>
      </c>
      <c r="B103" t="str">
        <f t="shared" si="2"/>
        <v>2023-09-26_0004</v>
      </c>
      <c r="C103" s="8">
        <v>45195</v>
      </c>
      <c r="D103" s="11">
        <v>4</v>
      </c>
      <c r="E103" s="12" t="s">
        <v>15</v>
      </c>
      <c r="F103" s="6">
        <v>45178</v>
      </c>
      <c r="G103" s="9" t="s">
        <v>36</v>
      </c>
      <c r="H103" s="9">
        <f t="shared" si="3"/>
        <v>17</v>
      </c>
      <c r="I103" s="9" t="s">
        <v>12</v>
      </c>
      <c r="J103" s="9" t="s">
        <v>36</v>
      </c>
      <c r="K103" s="19">
        <v>48.128</v>
      </c>
      <c r="L103" s="22">
        <v>2.4239999999999999</v>
      </c>
      <c r="M103" s="22">
        <v>1.944</v>
      </c>
      <c r="N103" t="s">
        <v>14</v>
      </c>
    </row>
    <row r="104" spans="1:15" ht="16" x14ac:dyDescent="0.4">
      <c r="A104">
        <v>81</v>
      </c>
      <c r="B104" t="str">
        <f t="shared" si="2"/>
        <v>2023-09-26_0005</v>
      </c>
      <c r="C104" s="8">
        <v>45195</v>
      </c>
      <c r="D104" s="11">
        <v>5</v>
      </c>
      <c r="E104" s="12" t="s">
        <v>15</v>
      </c>
      <c r="F104" s="6">
        <v>45158</v>
      </c>
      <c r="G104" s="9" t="s">
        <v>36</v>
      </c>
      <c r="H104" s="9">
        <f t="shared" si="3"/>
        <v>37</v>
      </c>
      <c r="I104" s="9" t="s">
        <v>38</v>
      </c>
      <c r="J104" s="9" t="s">
        <v>36</v>
      </c>
      <c r="K104" s="19">
        <v>45.767000000000003</v>
      </c>
      <c r="L104" s="22">
        <v>2.3940000000000001</v>
      </c>
      <c r="M104" s="22">
        <v>2.085</v>
      </c>
      <c r="N104" t="s">
        <v>14</v>
      </c>
    </row>
    <row r="105" spans="1:15" ht="16" x14ac:dyDescent="0.4">
      <c r="A105">
        <v>81</v>
      </c>
      <c r="B105" t="str">
        <f t="shared" si="2"/>
        <v>2023-09-26_0006</v>
      </c>
      <c r="C105" s="8">
        <v>45195</v>
      </c>
      <c r="D105" s="11">
        <v>6</v>
      </c>
      <c r="E105" s="12" t="s">
        <v>15</v>
      </c>
      <c r="F105" s="6">
        <v>45167</v>
      </c>
      <c r="G105" s="9" t="s">
        <v>36</v>
      </c>
      <c r="H105" s="9">
        <f t="shared" si="3"/>
        <v>28</v>
      </c>
      <c r="I105" s="9" t="s">
        <v>12</v>
      </c>
      <c r="J105" s="9" t="s">
        <v>39</v>
      </c>
      <c r="K105" s="19">
        <v>46.052</v>
      </c>
      <c r="L105" s="22">
        <v>2.3010000000000002</v>
      </c>
      <c r="M105" s="22">
        <v>1.998</v>
      </c>
      <c r="N105" t="s">
        <v>14</v>
      </c>
      <c r="O105" t="s">
        <v>41</v>
      </c>
    </row>
    <row r="106" spans="1:15" ht="16" x14ac:dyDescent="0.4">
      <c r="A106">
        <v>81</v>
      </c>
      <c r="B106" t="str">
        <f t="shared" si="2"/>
        <v>2023-09-26_0007</v>
      </c>
      <c r="C106" s="8">
        <v>45195</v>
      </c>
      <c r="D106" s="11">
        <v>7</v>
      </c>
      <c r="E106" s="12" t="s">
        <v>15</v>
      </c>
      <c r="F106" s="6">
        <v>45168</v>
      </c>
      <c r="G106" s="9" t="s">
        <v>36</v>
      </c>
      <c r="H106" s="9">
        <f t="shared" si="3"/>
        <v>27</v>
      </c>
      <c r="I106" s="9" t="s">
        <v>12</v>
      </c>
      <c r="J106" s="9" t="s">
        <v>39</v>
      </c>
      <c r="K106" s="19">
        <v>47.646999999999998</v>
      </c>
      <c r="L106" s="22">
        <v>2.4569999999999999</v>
      </c>
      <c r="M106" s="22">
        <v>2.1280000000000001</v>
      </c>
      <c r="N106" t="s">
        <v>14</v>
      </c>
      <c r="O106" t="s">
        <v>41</v>
      </c>
    </row>
    <row r="107" spans="1:15" ht="16" x14ac:dyDescent="0.4">
      <c r="A107">
        <v>81</v>
      </c>
      <c r="B107" t="str">
        <f t="shared" si="2"/>
        <v>2023-09-26_0008</v>
      </c>
      <c r="C107" s="8">
        <v>45195</v>
      </c>
      <c r="D107" s="11">
        <v>8</v>
      </c>
      <c r="E107" s="12" t="s">
        <v>15</v>
      </c>
      <c r="F107" s="6">
        <v>45157</v>
      </c>
      <c r="G107" s="9" t="s">
        <v>36</v>
      </c>
      <c r="H107" s="9">
        <f t="shared" si="3"/>
        <v>38</v>
      </c>
      <c r="I107" s="9" t="s">
        <v>18</v>
      </c>
      <c r="J107" s="9" t="s">
        <v>36</v>
      </c>
      <c r="K107" s="19">
        <v>48.793999999999997</v>
      </c>
      <c r="L107" s="22">
        <v>2.4009999999999998</v>
      </c>
      <c r="M107" s="22">
        <v>2.1019999999999999</v>
      </c>
      <c r="N107" t="s">
        <v>14</v>
      </c>
    </row>
    <row r="108" spans="1:15" ht="16" x14ac:dyDescent="0.4">
      <c r="A108">
        <v>81</v>
      </c>
      <c r="B108" t="str">
        <f t="shared" si="2"/>
        <v>2023-09-26_0009</v>
      </c>
      <c r="C108" s="8">
        <v>45195</v>
      </c>
      <c r="D108" s="11">
        <v>9</v>
      </c>
      <c r="E108" s="12" t="s">
        <v>15</v>
      </c>
      <c r="F108" s="6">
        <v>45170</v>
      </c>
      <c r="G108" s="9" t="s">
        <v>36</v>
      </c>
      <c r="H108" s="9">
        <f t="shared" si="3"/>
        <v>25</v>
      </c>
      <c r="I108" s="9" t="s">
        <v>12</v>
      </c>
      <c r="J108" s="9" t="s">
        <v>36</v>
      </c>
      <c r="K108" s="19">
        <v>51.734999999999999</v>
      </c>
      <c r="L108" s="22">
        <v>2.5379999999999998</v>
      </c>
      <c r="M108" s="22">
        <v>2.125</v>
      </c>
      <c r="N108" t="s">
        <v>14</v>
      </c>
    </row>
    <row r="109" spans="1:15" ht="16" x14ac:dyDescent="0.4">
      <c r="A109">
        <v>81</v>
      </c>
      <c r="B109" t="str">
        <f t="shared" si="2"/>
        <v>2023-09-26_0010</v>
      </c>
      <c r="C109" s="8">
        <v>45195</v>
      </c>
      <c r="D109" s="11">
        <v>10</v>
      </c>
      <c r="E109" s="12" t="s">
        <v>15</v>
      </c>
      <c r="F109" s="6">
        <v>45178</v>
      </c>
      <c r="G109" s="9" t="s">
        <v>36</v>
      </c>
      <c r="H109" s="9">
        <f t="shared" si="3"/>
        <v>17</v>
      </c>
      <c r="I109" s="9" t="s">
        <v>12</v>
      </c>
      <c r="J109" s="9" t="s">
        <v>36</v>
      </c>
      <c r="K109" s="19">
        <v>50.667999999999999</v>
      </c>
      <c r="L109" s="22">
        <v>2.4390000000000001</v>
      </c>
      <c r="M109" s="22">
        <v>1.978</v>
      </c>
      <c r="N109" t="s">
        <v>14</v>
      </c>
    </row>
    <row r="110" spans="1:15" ht="16" x14ac:dyDescent="0.4">
      <c r="A110">
        <v>81</v>
      </c>
      <c r="B110" t="str">
        <f t="shared" si="2"/>
        <v>2023-09-26_0011</v>
      </c>
      <c r="C110" s="8">
        <v>45195</v>
      </c>
      <c r="D110" s="11">
        <v>11</v>
      </c>
      <c r="E110" s="12" t="s">
        <v>15</v>
      </c>
      <c r="F110" s="6">
        <v>45178</v>
      </c>
      <c r="G110" s="9" t="s">
        <v>36</v>
      </c>
      <c r="H110" s="9">
        <f t="shared" si="3"/>
        <v>17</v>
      </c>
      <c r="I110" s="9" t="s">
        <v>18</v>
      </c>
      <c r="J110" s="9" t="s">
        <v>36</v>
      </c>
      <c r="K110" s="19">
        <v>48.865000000000002</v>
      </c>
      <c r="L110" s="22">
        <v>2.456</v>
      </c>
      <c r="M110" s="22">
        <v>2.0979999999999999</v>
      </c>
      <c r="N110" t="s">
        <v>14</v>
      </c>
    </row>
    <row r="111" spans="1:15" ht="16" x14ac:dyDescent="0.4">
      <c r="A111">
        <v>81</v>
      </c>
      <c r="B111" t="str">
        <f t="shared" si="2"/>
        <v>2023-09-26_0012</v>
      </c>
      <c r="C111" s="8">
        <v>45195</v>
      </c>
      <c r="D111" s="11">
        <v>12</v>
      </c>
      <c r="E111" s="12" t="s">
        <v>15</v>
      </c>
      <c r="F111" s="6">
        <v>45175</v>
      </c>
      <c r="G111" s="9" t="s">
        <v>39</v>
      </c>
      <c r="H111" s="9">
        <f t="shared" si="3"/>
        <v>20</v>
      </c>
      <c r="I111" s="9" t="s">
        <v>12</v>
      </c>
      <c r="J111" s="9" t="s">
        <v>36</v>
      </c>
      <c r="K111" s="19">
        <v>48.091000000000001</v>
      </c>
      <c r="L111" s="22">
        <v>2.4870000000000001</v>
      </c>
      <c r="M111" s="22">
        <v>2.1219999999999999</v>
      </c>
      <c r="N111" t="s">
        <v>14</v>
      </c>
      <c r="O111" t="s">
        <v>57</v>
      </c>
    </row>
    <row r="112" spans="1:15" ht="16" x14ac:dyDescent="0.4">
      <c r="A112">
        <v>81</v>
      </c>
      <c r="B112" t="str">
        <f t="shared" si="2"/>
        <v>2023-09-26_0013</v>
      </c>
      <c r="C112" s="8">
        <v>45195</v>
      </c>
      <c r="D112" s="11">
        <v>13</v>
      </c>
      <c r="E112" s="12" t="s">
        <v>15</v>
      </c>
      <c r="F112" s="6">
        <v>45175</v>
      </c>
      <c r="G112" s="9" t="s">
        <v>36</v>
      </c>
      <c r="H112" s="9">
        <f t="shared" si="3"/>
        <v>20</v>
      </c>
      <c r="I112" s="9" t="s">
        <v>18</v>
      </c>
      <c r="J112" s="9" t="s">
        <v>36</v>
      </c>
      <c r="K112" s="19">
        <v>44.503</v>
      </c>
      <c r="L112" s="22">
        <v>2.2240000000000002</v>
      </c>
      <c r="M112" s="22">
        <v>1.881</v>
      </c>
      <c r="N112" t="s">
        <v>14</v>
      </c>
    </row>
    <row r="113" spans="1:15" ht="16" x14ac:dyDescent="0.4">
      <c r="A113">
        <v>81</v>
      </c>
      <c r="B113" t="str">
        <f t="shared" si="2"/>
        <v>2023-09-26_0014</v>
      </c>
      <c r="C113" s="8">
        <v>45195</v>
      </c>
      <c r="D113" s="11">
        <v>14</v>
      </c>
      <c r="E113" s="12" t="s">
        <v>11</v>
      </c>
      <c r="F113" s="6" t="s">
        <v>21</v>
      </c>
      <c r="G113" s="9" t="s">
        <v>21</v>
      </c>
      <c r="H113" s="9" t="str">
        <f t="shared" si="3"/>
        <v>NA</v>
      </c>
      <c r="I113" s="9" t="s">
        <v>12</v>
      </c>
      <c r="J113" s="9" t="s">
        <v>36</v>
      </c>
      <c r="K113" s="19">
        <v>50.06</v>
      </c>
      <c r="L113" s="22">
        <v>2.7959999999999998</v>
      </c>
      <c r="M113" s="22">
        <v>2.2919999999999998</v>
      </c>
      <c r="N113" t="s">
        <v>16</v>
      </c>
      <c r="O113" t="s">
        <v>58</v>
      </c>
    </row>
    <row r="114" spans="1:15" ht="16" x14ac:dyDescent="0.4">
      <c r="A114">
        <v>81</v>
      </c>
      <c r="B114" t="str">
        <f t="shared" si="2"/>
        <v>2023-09-26_0015</v>
      </c>
      <c r="C114" s="8">
        <v>45195</v>
      </c>
      <c r="D114" s="11">
        <v>15</v>
      </c>
      <c r="E114" s="12" t="s">
        <v>11</v>
      </c>
      <c r="F114" s="6" t="s">
        <v>21</v>
      </c>
      <c r="G114" s="9" t="s">
        <v>21</v>
      </c>
      <c r="H114" s="9" t="str">
        <f t="shared" si="3"/>
        <v>NA</v>
      </c>
      <c r="I114" s="9" t="s">
        <v>38</v>
      </c>
      <c r="J114" s="9" t="s">
        <v>36</v>
      </c>
      <c r="K114" s="19" t="s">
        <v>21</v>
      </c>
      <c r="L114" s="22">
        <v>2.5819999999999999</v>
      </c>
      <c r="M114" s="22">
        <v>2.0649999999999999</v>
      </c>
      <c r="N114" t="s">
        <v>16</v>
      </c>
      <c r="O114" t="s">
        <v>58</v>
      </c>
    </row>
    <row r="115" spans="1:15" ht="16" x14ac:dyDescent="0.4">
      <c r="A115">
        <v>78</v>
      </c>
      <c r="B115" t="str">
        <f t="shared" si="2"/>
        <v>2023-09-25_0001</v>
      </c>
      <c r="C115" s="8">
        <v>45194</v>
      </c>
      <c r="D115" s="11">
        <v>1</v>
      </c>
      <c r="E115" s="12" t="s">
        <v>15</v>
      </c>
      <c r="F115" s="6">
        <v>45178</v>
      </c>
      <c r="G115" s="9" t="s">
        <v>36</v>
      </c>
      <c r="H115" s="9">
        <f t="shared" si="3"/>
        <v>16</v>
      </c>
      <c r="I115" s="9" t="s">
        <v>12</v>
      </c>
      <c r="J115" s="9" t="s">
        <v>36</v>
      </c>
      <c r="K115" s="19">
        <v>50.741</v>
      </c>
      <c r="L115" s="22">
        <v>2.4740000000000002</v>
      </c>
      <c r="M115" s="22">
        <v>1.9610000000000001</v>
      </c>
      <c r="N115" t="s">
        <v>14</v>
      </c>
    </row>
    <row r="116" spans="1:15" ht="16" x14ac:dyDescent="0.4">
      <c r="A116">
        <v>78</v>
      </c>
      <c r="B116" t="str">
        <f t="shared" si="2"/>
        <v>2023-09-25_0002</v>
      </c>
      <c r="C116" s="8">
        <v>45194</v>
      </c>
      <c r="D116" s="11">
        <v>2</v>
      </c>
      <c r="E116" s="12" t="s">
        <v>15</v>
      </c>
      <c r="F116" s="6">
        <v>45175</v>
      </c>
      <c r="G116" s="9" t="s">
        <v>36</v>
      </c>
      <c r="H116" s="9">
        <f t="shared" si="3"/>
        <v>19</v>
      </c>
      <c r="I116" s="9" t="s">
        <v>38</v>
      </c>
      <c r="J116" s="9" t="s">
        <v>39</v>
      </c>
      <c r="K116" s="19">
        <v>47.715000000000003</v>
      </c>
      <c r="L116" s="22">
        <v>2.54</v>
      </c>
      <c r="M116" s="22">
        <v>2.0569999999999999</v>
      </c>
      <c r="N116" t="s">
        <v>14</v>
      </c>
      <c r="O116" t="s">
        <v>41</v>
      </c>
    </row>
    <row r="117" spans="1:15" ht="16" x14ac:dyDescent="0.4">
      <c r="A117">
        <v>78</v>
      </c>
      <c r="B117" t="str">
        <f t="shared" si="2"/>
        <v>2023-09-25_0003</v>
      </c>
      <c r="C117" s="8">
        <v>45194</v>
      </c>
      <c r="D117" s="11">
        <v>3</v>
      </c>
      <c r="E117" s="12" t="s">
        <v>11</v>
      </c>
      <c r="F117" s="6">
        <v>45167</v>
      </c>
      <c r="G117" s="9" t="s">
        <v>36</v>
      </c>
      <c r="H117" s="9">
        <f t="shared" si="3"/>
        <v>27</v>
      </c>
      <c r="I117" s="9" t="s">
        <v>18</v>
      </c>
      <c r="J117" s="9" t="s">
        <v>36</v>
      </c>
      <c r="K117" s="19">
        <v>44.820999999999998</v>
      </c>
      <c r="L117" s="22">
        <v>2.4169999999999998</v>
      </c>
      <c r="M117" s="22">
        <v>1.919</v>
      </c>
      <c r="N117" t="s">
        <v>14</v>
      </c>
    </row>
    <row r="118" spans="1:15" ht="16" x14ac:dyDescent="0.4">
      <c r="A118">
        <v>78</v>
      </c>
      <c r="B118" t="str">
        <f t="shared" si="2"/>
        <v>2023-09-25_0004</v>
      </c>
      <c r="C118" s="8">
        <v>45194</v>
      </c>
      <c r="D118" s="11">
        <v>4</v>
      </c>
      <c r="E118" s="12" t="s">
        <v>15</v>
      </c>
      <c r="F118" s="6">
        <v>45163</v>
      </c>
      <c r="G118" s="9" t="s">
        <v>36</v>
      </c>
      <c r="H118" s="9">
        <f t="shared" si="3"/>
        <v>31</v>
      </c>
      <c r="I118" s="9" t="s">
        <v>18</v>
      </c>
      <c r="J118" s="9" t="s">
        <v>36</v>
      </c>
      <c r="K118" s="19">
        <v>49.725000000000001</v>
      </c>
      <c r="L118" s="22">
        <v>2.3130000000000002</v>
      </c>
      <c r="M118" s="22">
        <v>2.0920000000000001</v>
      </c>
      <c r="N118" t="s">
        <v>14</v>
      </c>
    </row>
    <row r="119" spans="1:15" ht="16" x14ac:dyDescent="0.4">
      <c r="A119">
        <v>78</v>
      </c>
      <c r="B119" t="str">
        <f t="shared" si="2"/>
        <v>2023-09-25_0005</v>
      </c>
      <c r="C119" s="8">
        <v>45194</v>
      </c>
      <c r="D119" s="11">
        <v>5</v>
      </c>
      <c r="E119" s="12" t="s">
        <v>11</v>
      </c>
      <c r="F119" s="6">
        <v>45175</v>
      </c>
      <c r="G119" s="9" t="s">
        <v>39</v>
      </c>
      <c r="H119" s="9">
        <f t="shared" si="3"/>
        <v>19</v>
      </c>
      <c r="I119" s="9" t="s">
        <v>12</v>
      </c>
      <c r="J119" s="9" t="s">
        <v>36</v>
      </c>
      <c r="K119" s="19">
        <v>43.749000000000002</v>
      </c>
      <c r="L119" s="22">
        <v>2.4209999999999998</v>
      </c>
      <c r="M119" s="22">
        <v>1.895</v>
      </c>
      <c r="N119" t="s">
        <v>14</v>
      </c>
      <c r="O119" t="s">
        <v>40</v>
      </c>
    </row>
    <row r="120" spans="1:15" ht="16" x14ac:dyDescent="0.4">
      <c r="A120">
        <v>78</v>
      </c>
      <c r="B120" t="str">
        <f t="shared" si="2"/>
        <v>2023-09-25_0006</v>
      </c>
      <c r="C120" s="8">
        <v>45194</v>
      </c>
      <c r="D120" s="11">
        <v>6</v>
      </c>
      <c r="E120" s="12" t="s">
        <v>15</v>
      </c>
      <c r="F120" s="6">
        <v>45166</v>
      </c>
      <c r="G120" s="9" t="s">
        <v>39</v>
      </c>
      <c r="H120" s="9">
        <f t="shared" si="3"/>
        <v>28</v>
      </c>
      <c r="I120" s="9" t="s">
        <v>38</v>
      </c>
      <c r="J120" s="9" t="s">
        <v>36</v>
      </c>
      <c r="K120" s="19">
        <v>50.177999999999997</v>
      </c>
      <c r="L120" s="22">
        <v>2.4870000000000001</v>
      </c>
      <c r="M120" s="22">
        <v>2.0150000000000001</v>
      </c>
      <c r="N120" t="s">
        <v>14</v>
      </c>
      <c r="O120" t="s">
        <v>40</v>
      </c>
    </row>
    <row r="121" spans="1:15" ht="16" x14ac:dyDescent="0.4">
      <c r="A121">
        <v>78</v>
      </c>
      <c r="B121" t="str">
        <f t="shared" si="2"/>
        <v>2023-09-25_0007</v>
      </c>
      <c r="C121" s="8">
        <v>45194</v>
      </c>
      <c r="D121" s="11">
        <v>7</v>
      </c>
      <c r="E121" s="12" t="s">
        <v>15</v>
      </c>
      <c r="F121" s="6">
        <v>45175</v>
      </c>
      <c r="G121" s="9" t="s">
        <v>36</v>
      </c>
      <c r="H121" s="9">
        <f t="shared" si="3"/>
        <v>19</v>
      </c>
      <c r="I121" s="9" t="s">
        <v>12</v>
      </c>
      <c r="J121" s="9" t="s">
        <v>36</v>
      </c>
      <c r="K121" s="19">
        <v>47.052999999999997</v>
      </c>
      <c r="L121" s="22">
        <v>2.3929999999999998</v>
      </c>
      <c r="M121" s="22">
        <v>1.9730000000000001</v>
      </c>
      <c r="N121" t="s">
        <v>14</v>
      </c>
    </row>
    <row r="122" spans="1:15" ht="16" x14ac:dyDescent="0.4">
      <c r="A122">
        <v>78</v>
      </c>
      <c r="B122" t="str">
        <f t="shared" si="2"/>
        <v>2023-09-25_0008</v>
      </c>
      <c r="C122" s="8">
        <v>45194</v>
      </c>
      <c r="D122" s="11">
        <v>8</v>
      </c>
      <c r="E122" s="12" t="s">
        <v>15</v>
      </c>
      <c r="F122" s="6">
        <v>45163</v>
      </c>
      <c r="G122" s="9" t="s">
        <v>36</v>
      </c>
      <c r="H122" s="9">
        <f t="shared" si="3"/>
        <v>31</v>
      </c>
      <c r="I122" s="9" t="s">
        <v>18</v>
      </c>
      <c r="J122" s="9" t="s">
        <v>36</v>
      </c>
      <c r="K122" s="19">
        <v>45.558999999999997</v>
      </c>
      <c r="L122" s="22">
        <v>2.2400000000000002</v>
      </c>
      <c r="M122" s="22">
        <v>1.9930000000000001</v>
      </c>
      <c r="N122" t="s">
        <v>14</v>
      </c>
    </row>
    <row r="123" spans="1:15" ht="16" x14ac:dyDescent="0.4">
      <c r="A123">
        <v>79</v>
      </c>
      <c r="B123" t="str">
        <f t="shared" si="2"/>
        <v>2023-09-25_0009</v>
      </c>
      <c r="C123" s="8">
        <v>45194</v>
      </c>
      <c r="D123" s="11">
        <v>9</v>
      </c>
      <c r="E123" s="12" t="s">
        <v>11</v>
      </c>
      <c r="F123" s="6">
        <v>45157</v>
      </c>
      <c r="G123" s="9" t="s">
        <v>36</v>
      </c>
      <c r="H123" s="9">
        <f t="shared" si="3"/>
        <v>37</v>
      </c>
      <c r="I123" s="9" t="s">
        <v>12</v>
      </c>
      <c r="J123" s="9" t="s">
        <v>36</v>
      </c>
      <c r="K123" s="19">
        <v>50.23</v>
      </c>
      <c r="L123" s="22">
        <v>2.5760000000000001</v>
      </c>
      <c r="M123" s="22">
        <v>2.1019999999999999</v>
      </c>
      <c r="N123" t="s">
        <v>14</v>
      </c>
    </row>
    <row r="124" spans="1:15" ht="16" x14ac:dyDescent="0.4">
      <c r="A124">
        <v>79</v>
      </c>
      <c r="B124" t="str">
        <f t="shared" si="2"/>
        <v>2023-09-25_0010</v>
      </c>
      <c r="C124" s="8">
        <v>45194</v>
      </c>
      <c r="D124" s="11">
        <v>10</v>
      </c>
      <c r="E124" s="12" t="s">
        <v>11</v>
      </c>
      <c r="F124" s="6">
        <v>45170</v>
      </c>
      <c r="G124" s="9" t="s">
        <v>39</v>
      </c>
      <c r="H124" s="9">
        <f t="shared" si="3"/>
        <v>24</v>
      </c>
      <c r="I124" s="9" t="s">
        <v>18</v>
      </c>
      <c r="J124" s="9" t="s">
        <v>36</v>
      </c>
      <c r="K124" s="19">
        <v>43.790999999999997</v>
      </c>
      <c r="L124" s="22">
        <v>2.4630000000000001</v>
      </c>
      <c r="M124" s="22">
        <v>2.1</v>
      </c>
      <c r="N124" t="s">
        <v>14</v>
      </c>
      <c r="O124" t="s">
        <v>59</v>
      </c>
    </row>
    <row r="125" spans="1:15" ht="16" x14ac:dyDescent="0.4">
      <c r="A125">
        <v>79</v>
      </c>
      <c r="B125" t="str">
        <f t="shared" si="2"/>
        <v>2023-09-25_0011</v>
      </c>
      <c r="C125" s="8">
        <v>45194</v>
      </c>
      <c r="D125" s="11">
        <v>11</v>
      </c>
      <c r="E125" s="12" t="s">
        <v>11</v>
      </c>
      <c r="F125" s="6">
        <v>45156</v>
      </c>
      <c r="G125" s="9" t="s">
        <v>36</v>
      </c>
      <c r="H125" s="9">
        <f t="shared" si="3"/>
        <v>38</v>
      </c>
      <c r="I125" s="9" t="s">
        <v>12</v>
      </c>
      <c r="J125" s="9" t="s">
        <v>36</v>
      </c>
      <c r="K125" s="19">
        <v>50.274000000000001</v>
      </c>
      <c r="L125" s="22">
        <v>2.504</v>
      </c>
      <c r="M125" s="22">
        <v>1.948</v>
      </c>
      <c r="N125" t="s">
        <v>14</v>
      </c>
      <c r="O125" t="s">
        <v>42</v>
      </c>
    </row>
    <row r="126" spans="1:15" ht="16" x14ac:dyDescent="0.4">
      <c r="A126">
        <v>76</v>
      </c>
      <c r="B126" t="str">
        <f t="shared" si="2"/>
        <v>2023-09-24_0001</v>
      </c>
      <c r="C126" s="8">
        <v>45193</v>
      </c>
      <c r="D126" s="11">
        <v>1</v>
      </c>
      <c r="E126" s="12" t="s">
        <v>15</v>
      </c>
      <c r="F126" s="6">
        <v>45166</v>
      </c>
      <c r="G126" s="9" t="s">
        <v>39</v>
      </c>
      <c r="H126" s="9">
        <f t="shared" si="3"/>
        <v>27</v>
      </c>
      <c r="I126" s="9" t="s">
        <v>12</v>
      </c>
      <c r="J126" s="9" t="s">
        <v>36</v>
      </c>
      <c r="K126" s="19">
        <v>46.088999999999999</v>
      </c>
      <c r="L126" s="22">
        <v>2.4430000000000001</v>
      </c>
      <c r="M126" s="22">
        <v>1.887</v>
      </c>
      <c r="N126" t="s">
        <v>14</v>
      </c>
      <c r="O126" t="s">
        <v>40</v>
      </c>
    </row>
    <row r="127" spans="1:15" ht="16" x14ac:dyDescent="0.4">
      <c r="A127">
        <v>76</v>
      </c>
      <c r="B127" t="str">
        <f t="shared" si="2"/>
        <v>2023-09-24_0002</v>
      </c>
      <c r="C127" s="8">
        <v>45193</v>
      </c>
      <c r="D127" s="11">
        <v>2</v>
      </c>
      <c r="E127" s="12" t="s">
        <v>11</v>
      </c>
      <c r="F127" s="6">
        <v>45178</v>
      </c>
      <c r="G127" s="9" t="s">
        <v>36</v>
      </c>
      <c r="H127" s="9">
        <f t="shared" si="3"/>
        <v>15</v>
      </c>
      <c r="I127" s="9" t="s">
        <v>12</v>
      </c>
      <c r="J127" s="9" t="s">
        <v>39</v>
      </c>
      <c r="K127" s="19">
        <v>48.13</v>
      </c>
      <c r="L127" s="22">
        <v>2.367</v>
      </c>
      <c r="M127" s="22">
        <v>2.0310000000000001</v>
      </c>
      <c r="N127" t="s">
        <v>14</v>
      </c>
      <c r="O127" t="s">
        <v>41</v>
      </c>
    </row>
    <row r="128" spans="1:15" ht="16" x14ac:dyDescent="0.4">
      <c r="A128">
        <v>76</v>
      </c>
      <c r="B128" t="str">
        <f t="shared" si="2"/>
        <v>2023-09-24_0003</v>
      </c>
      <c r="C128" s="8">
        <v>45193</v>
      </c>
      <c r="D128" s="11">
        <v>3</v>
      </c>
      <c r="E128" s="12" t="s">
        <v>15</v>
      </c>
      <c r="F128" s="6">
        <v>45178</v>
      </c>
      <c r="G128" s="9" t="s">
        <v>39</v>
      </c>
      <c r="H128" s="9">
        <f t="shared" si="3"/>
        <v>15</v>
      </c>
      <c r="I128" s="9" t="s">
        <v>12</v>
      </c>
      <c r="J128" s="9" t="s">
        <v>36</v>
      </c>
      <c r="K128" s="19">
        <v>52.046999999999997</v>
      </c>
      <c r="L128" s="22">
        <v>2.6779999999999999</v>
      </c>
      <c r="M128" s="22">
        <v>2.2120000000000002</v>
      </c>
      <c r="N128" t="s">
        <v>14</v>
      </c>
      <c r="O128" t="s">
        <v>40</v>
      </c>
    </row>
    <row r="129" spans="1:15" ht="16" x14ac:dyDescent="0.4">
      <c r="A129">
        <v>76</v>
      </c>
      <c r="B129" t="str">
        <f t="shared" si="2"/>
        <v>2023-09-24_0004</v>
      </c>
      <c r="C129" s="8">
        <v>45193</v>
      </c>
      <c r="D129" s="11">
        <v>4</v>
      </c>
      <c r="E129" s="12" t="s">
        <v>15</v>
      </c>
      <c r="F129" s="6">
        <v>45175</v>
      </c>
      <c r="G129" s="9" t="s">
        <v>36</v>
      </c>
      <c r="H129" s="9">
        <f t="shared" si="3"/>
        <v>18</v>
      </c>
      <c r="I129" s="9" t="s">
        <v>12</v>
      </c>
      <c r="J129" s="9" t="s">
        <v>36</v>
      </c>
      <c r="K129" s="19">
        <v>47.557000000000002</v>
      </c>
      <c r="L129" s="22">
        <v>2.4020000000000001</v>
      </c>
      <c r="M129" s="22">
        <v>2.0910000000000002</v>
      </c>
      <c r="N129" t="s">
        <v>14</v>
      </c>
    </row>
    <row r="130" spans="1:15" ht="16" x14ac:dyDescent="0.4">
      <c r="A130">
        <v>76</v>
      </c>
      <c r="B130" t="str">
        <f t="shared" ref="B130:B193" si="4">IF(ISBLANK(C130),NA(),_xlfn.CONCAT(TEXT(C130,"YYYY-MM-DD"),"_",TEXT(D130,"0000")))</f>
        <v>2023-09-24_0005</v>
      </c>
      <c r="C130" s="8">
        <v>45193</v>
      </c>
      <c r="D130" s="11">
        <v>5</v>
      </c>
      <c r="E130" s="12" t="s">
        <v>11</v>
      </c>
      <c r="F130" s="6">
        <v>45176</v>
      </c>
      <c r="G130" s="9" t="s">
        <v>39</v>
      </c>
      <c r="H130" s="9">
        <f t="shared" ref="H130:H193" si="5">IF(F130="NA","NA", DATEDIF(F130,C130,"d"))</f>
        <v>17</v>
      </c>
      <c r="I130" s="9" t="s">
        <v>18</v>
      </c>
      <c r="J130" s="9" t="s">
        <v>36</v>
      </c>
      <c r="K130" s="19">
        <v>41.439</v>
      </c>
      <c r="L130" s="22">
        <v>2.2890000000000001</v>
      </c>
      <c r="M130" s="22">
        <v>1.865</v>
      </c>
      <c r="N130" t="s">
        <v>14</v>
      </c>
      <c r="O130" t="s">
        <v>40</v>
      </c>
    </row>
    <row r="131" spans="1:15" ht="16" x14ac:dyDescent="0.4">
      <c r="A131">
        <v>76</v>
      </c>
      <c r="B131" t="str">
        <f t="shared" si="4"/>
        <v>2023-09-24_0006</v>
      </c>
      <c r="C131" s="8">
        <v>45193</v>
      </c>
      <c r="D131" s="11">
        <v>6</v>
      </c>
      <c r="E131" s="12" t="s">
        <v>15</v>
      </c>
      <c r="F131" s="6">
        <v>45168</v>
      </c>
      <c r="G131" s="9" t="s">
        <v>36</v>
      </c>
      <c r="H131" s="9">
        <f t="shared" si="5"/>
        <v>25</v>
      </c>
      <c r="I131" s="9" t="s">
        <v>12</v>
      </c>
      <c r="J131" s="9" t="s">
        <v>36</v>
      </c>
      <c r="K131" s="19">
        <v>45.308</v>
      </c>
      <c r="L131" s="22">
        <v>2.3980000000000001</v>
      </c>
      <c r="M131" s="22">
        <v>1.9410000000000001</v>
      </c>
      <c r="N131" t="s">
        <v>14</v>
      </c>
    </row>
    <row r="132" spans="1:15" ht="16" x14ac:dyDescent="0.4">
      <c r="A132">
        <v>77</v>
      </c>
      <c r="B132" t="str">
        <f t="shared" si="4"/>
        <v>2023-09-24_0007</v>
      </c>
      <c r="C132" s="8">
        <v>45193</v>
      </c>
      <c r="D132" s="11">
        <v>7</v>
      </c>
      <c r="E132" s="12" t="s">
        <v>11</v>
      </c>
      <c r="F132" s="6">
        <v>45166</v>
      </c>
      <c r="G132" s="9" t="s">
        <v>39</v>
      </c>
      <c r="H132" s="9">
        <f t="shared" si="5"/>
        <v>27</v>
      </c>
      <c r="I132" s="9" t="s">
        <v>12</v>
      </c>
      <c r="J132" s="9" t="s">
        <v>36</v>
      </c>
      <c r="K132" s="19">
        <v>46.261000000000003</v>
      </c>
      <c r="L132" s="22">
        <v>2.4740000000000002</v>
      </c>
      <c r="M132" s="22">
        <v>2.0670000000000002</v>
      </c>
      <c r="N132" t="s">
        <v>14</v>
      </c>
      <c r="O132" t="s">
        <v>40</v>
      </c>
    </row>
    <row r="133" spans="1:15" ht="16" x14ac:dyDescent="0.4">
      <c r="A133">
        <v>77</v>
      </c>
      <c r="B133" t="str">
        <f t="shared" si="4"/>
        <v>2023-09-24_0008</v>
      </c>
      <c r="C133" s="8">
        <v>45193</v>
      </c>
      <c r="D133" s="11">
        <v>8</v>
      </c>
      <c r="E133" s="12" t="s">
        <v>15</v>
      </c>
      <c r="F133" s="6">
        <v>45175</v>
      </c>
      <c r="G133" s="9" t="s">
        <v>39</v>
      </c>
      <c r="H133" s="9">
        <f t="shared" si="5"/>
        <v>18</v>
      </c>
      <c r="I133" s="9" t="s">
        <v>12</v>
      </c>
      <c r="J133" s="9" t="s">
        <v>36</v>
      </c>
      <c r="K133" s="19">
        <v>44.478999999999999</v>
      </c>
      <c r="L133" s="22">
        <v>2.367</v>
      </c>
      <c r="M133" s="22">
        <v>2.0529999999999999</v>
      </c>
      <c r="N133" t="s">
        <v>14</v>
      </c>
      <c r="O133" t="s">
        <v>40</v>
      </c>
    </row>
    <row r="134" spans="1:15" ht="16" x14ac:dyDescent="0.4">
      <c r="A134">
        <v>77</v>
      </c>
      <c r="B134" t="str">
        <f t="shared" si="4"/>
        <v>2023-09-24_0009</v>
      </c>
      <c r="C134" s="8">
        <v>45193</v>
      </c>
      <c r="D134" s="11">
        <v>9</v>
      </c>
      <c r="E134" s="12" t="s">
        <v>15</v>
      </c>
      <c r="F134" s="6">
        <v>45162</v>
      </c>
      <c r="G134" s="9" t="s">
        <v>39</v>
      </c>
      <c r="H134" s="9">
        <f t="shared" si="5"/>
        <v>31</v>
      </c>
      <c r="I134" s="9" t="s">
        <v>18</v>
      </c>
      <c r="J134" s="9" t="s">
        <v>36</v>
      </c>
      <c r="K134" s="19">
        <v>49.168999999999997</v>
      </c>
      <c r="L134" s="22">
        <v>2.4340000000000002</v>
      </c>
      <c r="M134" s="22">
        <v>2.085</v>
      </c>
      <c r="N134" t="s">
        <v>14</v>
      </c>
      <c r="O134" t="s">
        <v>40</v>
      </c>
    </row>
    <row r="135" spans="1:15" ht="16" x14ac:dyDescent="0.4">
      <c r="A135">
        <v>77</v>
      </c>
      <c r="B135" t="str">
        <f t="shared" si="4"/>
        <v>2023-09-24_0010</v>
      </c>
      <c r="C135" s="8">
        <v>45193</v>
      </c>
      <c r="D135" s="11">
        <v>10</v>
      </c>
      <c r="E135" s="12" t="s">
        <v>11</v>
      </c>
      <c r="F135" s="6">
        <v>45166</v>
      </c>
      <c r="G135" s="9" t="s">
        <v>36</v>
      </c>
      <c r="H135" s="9">
        <f t="shared" si="5"/>
        <v>27</v>
      </c>
      <c r="I135" s="9" t="s">
        <v>18</v>
      </c>
      <c r="J135" s="9" t="s">
        <v>36</v>
      </c>
      <c r="K135" s="19">
        <v>47.591000000000001</v>
      </c>
      <c r="L135" s="22">
        <v>2.5630000000000002</v>
      </c>
      <c r="M135" s="22">
        <v>2.0529999999999999</v>
      </c>
      <c r="N135" t="s">
        <v>14</v>
      </c>
    </row>
    <row r="136" spans="1:15" ht="16" x14ac:dyDescent="0.4">
      <c r="A136">
        <v>77</v>
      </c>
      <c r="B136" t="str">
        <f t="shared" si="4"/>
        <v>2023-09-24_0011</v>
      </c>
      <c r="C136" s="8">
        <v>45193</v>
      </c>
      <c r="D136" s="11">
        <v>11</v>
      </c>
      <c r="E136" s="12" t="s">
        <v>11</v>
      </c>
      <c r="F136" s="6">
        <v>45157</v>
      </c>
      <c r="G136" s="9" t="s">
        <v>36</v>
      </c>
      <c r="H136" s="9">
        <f t="shared" si="5"/>
        <v>36</v>
      </c>
      <c r="I136" s="9" t="s">
        <v>18</v>
      </c>
      <c r="J136" s="9" t="s">
        <v>36</v>
      </c>
      <c r="K136" s="19">
        <v>44.457999999999998</v>
      </c>
      <c r="L136" s="22">
        <v>2.5310000000000001</v>
      </c>
      <c r="M136" s="22">
        <v>2.1840000000000002</v>
      </c>
      <c r="N136" t="s">
        <v>14</v>
      </c>
      <c r="O136" t="s">
        <v>60</v>
      </c>
    </row>
    <row r="137" spans="1:15" ht="16" x14ac:dyDescent="0.4">
      <c r="A137">
        <v>77</v>
      </c>
      <c r="B137" t="str">
        <f t="shared" si="4"/>
        <v>2023-09-24_0012</v>
      </c>
      <c r="C137" s="8">
        <v>45193</v>
      </c>
      <c r="D137" s="11">
        <v>12</v>
      </c>
      <c r="E137" s="12" t="s">
        <v>11</v>
      </c>
      <c r="F137" s="6">
        <v>45159</v>
      </c>
      <c r="G137" s="9" t="s">
        <v>36</v>
      </c>
      <c r="H137" s="9">
        <f t="shared" si="5"/>
        <v>34</v>
      </c>
      <c r="I137" s="9" t="s">
        <v>18</v>
      </c>
      <c r="J137" s="9" t="s">
        <v>36</v>
      </c>
      <c r="K137" s="19">
        <v>48.703000000000003</v>
      </c>
      <c r="L137" s="22">
        <v>2.6459999999999999</v>
      </c>
      <c r="M137" s="22">
        <v>2.1219999999999999</v>
      </c>
      <c r="N137" t="s">
        <v>14</v>
      </c>
    </row>
    <row r="138" spans="1:15" ht="16" x14ac:dyDescent="0.4">
      <c r="A138">
        <v>77</v>
      </c>
      <c r="B138" t="str">
        <f t="shared" si="4"/>
        <v>2023-09-24_0013</v>
      </c>
      <c r="C138" s="8">
        <v>45193</v>
      </c>
      <c r="D138" s="11">
        <v>13</v>
      </c>
      <c r="E138" s="12" t="s">
        <v>15</v>
      </c>
      <c r="F138" s="6">
        <v>45181</v>
      </c>
      <c r="G138" s="9" t="s">
        <v>39</v>
      </c>
      <c r="H138" s="9">
        <f t="shared" si="5"/>
        <v>12</v>
      </c>
      <c r="I138" s="9" t="s">
        <v>12</v>
      </c>
      <c r="J138" s="9" t="s">
        <v>36</v>
      </c>
      <c r="K138" s="19">
        <v>42.25</v>
      </c>
      <c r="L138" s="22">
        <v>1.9550000000000001</v>
      </c>
      <c r="M138" s="22">
        <v>1.68</v>
      </c>
      <c r="N138" t="s">
        <v>14</v>
      </c>
      <c r="O138" t="s">
        <v>40</v>
      </c>
    </row>
    <row r="139" spans="1:15" ht="16" x14ac:dyDescent="0.4">
      <c r="A139">
        <v>77</v>
      </c>
      <c r="B139" t="str">
        <f t="shared" si="4"/>
        <v>2023-09-24_0014</v>
      </c>
      <c r="C139" s="8">
        <v>45193</v>
      </c>
      <c r="D139" s="11">
        <v>14</v>
      </c>
      <c r="E139" s="12" t="s">
        <v>11</v>
      </c>
      <c r="F139" s="6">
        <v>45156</v>
      </c>
      <c r="G139" s="9" t="s">
        <v>36</v>
      </c>
      <c r="H139" s="9">
        <f t="shared" si="5"/>
        <v>37</v>
      </c>
      <c r="I139" s="9" t="s">
        <v>38</v>
      </c>
      <c r="J139" s="9" t="s">
        <v>36</v>
      </c>
      <c r="K139" s="19">
        <v>48.453000000000003</v>
      </c>
      <c r="L139" s="22">
        <v>2.694</v>
      </c>
      <c r="M139" s="22">
        <v>2.032</v>
      </c>
      <c r="N139" t="s">
        <v>14</v>
      </c>
    </row>
    <row r="140" spans="1:15" ht="16" x14ac:dyDescent="0.4">
      <c r="A140">
        <v>77</v>
      </c>
      <c r="B140" t="str">
        <f t="shared" si="4"/>
        <v>2023-09-24_0015</v>
      </c>
      <c r="C140" s="8">
        <v>45193</v>
      </c>
      <c r="D140" s="11">
        <v>15</v>
      </c>
      <c r="E140" s="12" t="s">
        <v>11</v>
      </c>
      <c r="F140" s="6">
        <v>45166</v>
      </c>
      <c r="G140" s="9" t="s">
        <v>36</v>
      </c>
      <c r="H140" s="9">
        <f t="shared" si="5"/>
        <v>27</v>
      </c>
      <c r="I140" s="9" t="s">
        <v>12</v>
      </c>
      <c r="J140" s="9" t="s">
        <v>36</v>
      </c>
      <c r="K140" s="19" t="s">
        <v>21</v>
      </c>
      <c r="L140" s="22">
        <v>2.4700000000000002</v>
      </c>
      <c r="M140" s="22">
        <v>2.1040000000000001</v>
      </c>
      <c r="N140" t="s">
        <v>14</v>
      </c>
      <c r="O140" t="s">
        <v>42</v>
      </c>
    </row>
    <row r="141" spans="1:15" ht="16" x14ac:dyDescent="0.4">
      <c r="A141">
        <v>75</v>
      </c>
      <c r="B141" t="str">
        <f t="shared" si="4"/>
        <v>2023-09-22_0001</v>
      </c>
      <c r="C141" s="8">
        <v>45191</v>
      </c>
      <c r="D141" s="11">
        <v>1</v>
      </c>
      <c r="E141" s="12" t="s">
        <v>15</v>
      </c>
      <c r="F141" s="6">
        <v>45175</v>
      </c>
      <c r="G141" s="9" t="s">
        <v>36</v>
      </c>
      <c r="H141" s="9">
        <f t="shared" si="5"/>
        <v>16</v>
      </c>
      <c r="I141" s="9" t="s">
        <v>17</v>
      </c>
      <c r="J141" s="9" t="s">
        <v>36</v>
      </c>
      <c r="K141" s="19">
        <v>50.378999999999998</v>
      </c>
      <c r="L141" s="22">
        <v>2.5459999999999998</v>
      </c>
      <c r="M141" s="22">
        <v>2.0449999999999999</v>
      </c>
      <c r="N141" t="s">
        <v>14</v>
      </c>
    </row>
    <row r="142" spans="1:15" ht="16" x14ac:dyDescent="0.4">
      <c r="A142">
        <v>75</v>
      </c>
      <c r="B142" t="str">
        <f t="shared" si="4"/>
        <v>2023-09-22_0002</v>
      </c>
      <c r="C142" s="8">
        <v>45191</v>
      </c>
      <c r="D142" s="11">
        <v>2</v>
      </c>
      <c r="E142" s="12" t="s">
        <v>11</v>
      </c>
      <c r="F142" s="6">
        <v>45157</v>
      </c>
      <c r="G142" s="9" t="s">
        <v>36</v>
      </c>
      <c r="H142" s="9">
        <f t="shared" si="5"/>
        <v>34</v>
      </c>
      <c r="I142" s="9" t="s">
        <v>12</v>
      </c>
      <c r="J142" s="9" t="s">
        <v>36</v>
      </c>
      <c r="K142" s="19">
        <v>49.148000000000003</v>
      </c>
      <c r="L142" s="22">
        <v>2.5609999999999999</v>
      </c>
      <c r="M142" s="22">
        <v>2.0609999999999999</v>
      </c>
      <c r="N142" t="s">
        <v>14</v>
      </c>
    </row>
    <row r="143" spans="1:15" ht="16" x14ac:dyDescent="0.4">
      <c r="A143">
        <v>75</v>
      </c>
      <c r="B143" t="str">
        <f t="shared" si="4"/>
        <v>2023-09-22_0003</v>
      </c>
      <c r="C143" s="8">
        <v>45191</v>
      </c>
      <c r="D143" s="11">
        <v>3</v>
      </c>
      <c r="E143" s="12" t="s">
        <v>11</v>
      </c>
      <c r="F143" s="6">
        <v>45178</v>
      </c>
      <c r="G143" s="9" t="s">
        <v>36</v>
      </c>
      <c r="H143" s="9">
        <f t="shared" si="5"/>
        <v>13</v>
      </c>
      <c r="I143" s="9" t="s">
        <v>12</v>
      </c>
      <c r="J143" s="9" t="s">
        <v>36</v>
      </c>
      <c r="K143" s="19">
        <v>44.738999999999997</v>
      </c>
      <c r="L143" s="22">
        <v>2.3319999999999999</v>
      </c>
      <c r="M143" s="22">
        <v>1.94</v>
      </c>
      <c r="N143" t="s">
        <v>14</v>
      </c>
      <c r="O143" t="s">
        <v>42</v>
      </c>
    </row>
    <row r="144" spans="1:15" ht="16" x14ac:dyDescent="0.4">
      <c r="A144">
        <v>74</v>
      </c>
      <c r="B144" t="str">
        <f t="shared" si="4"/>
        <v>2023-09-21_0001</v>
      </c>
      <c r="C144" s="8">
        <v>45190</v>
      </c>
      <c r="D144" s="11">
        <v>1</v>
      </c>
      <c r="E144" s="12" t="s">
        <v>15</v>
      </c>
      <c r="F144" s="6">
        <v>45179</v>
      </c>
      <c r="G144" s="9" t="s">
        <v>39</v>
      </c>
      <c r="H144" s="9">
        <f t="shared" si="5"/>
        <v>11</v>
      </c>
      <c r="I144" s="9" t="s">
        <v>18</v>
      </c>
      <c r="J144" s="9" t="s">
        <v>36</v>
      </c>
      <c r="K144" s="19">
        <v>44.643999999999998</v>
      </c>
      <c r="L144" s="22">
        <v>2.2589999999999999</v>
      </c>
      <c r="M144" s="22">
        <v>1.899</v>
      </c>
      <c r="N144" t="s">
        <v>14</v>
      </c>
      <c r="O144" t="s">
        <v>40</v>
      </c>
    </row>
    <row r="145" spans="1:15" ht="16" x14ac:dyDescent="0.4">
      <c r="A145">
        <v>74</v>
      </c>
      <c r="B145" t="str">
        <f t="shared" si="4"/>
        <v>2023-09-21_0002</v>
      </c>
      <c r="C145" s="8">
        <v>45190</v>
      </c>
      <c r="D145" s="11">
        <v>2</v>
      </c>
      <c r="E145" s="12" t="s">
        <v>15</v>
      </c>
      <c r="F145" s="6">
        <v>45178</v>
      </c>
      <c r="G145" s="9" t="s">
        <v>36</v>
      </c>
      <c r="H145" s="9">
        <f t="shared" si="5"/>
        <v>12</v>
      </c>
      <c r="I145" s="9" t="s">
        <v>18</v>
      </c>
      <c r="J145" s="9" t="s">
        <v>36</v>
      </c>
      <c r="K145" s="19">
        <v>47.417999999999999</v>
      </c>
      <c r="L145" s="22">
        <v>2.3620000000000001</v>
      </c>
      <c r="M145" s="22">
        <v>1.9259999999999999</v>
      </c>
      <c r="N145" t="s">
        <v>14</v>
      </c>
    </row>
    <row r="146" spans="1:15" ht="16" x14ac:dyDescent="0.4">
      <c r="A146">
        <v>74</v>
      </c>
      <c r="B146" t="str">
        <f t="shared" si="4"/>
        <v>2023-09-21_0003</v>
      </c>
      <c r="C146" s="8">
        <v>45190</v>
      </c>
      <c r="D146" s="11">
        <v>3</v>
      </c>
      <c r="E146" s="12" t="s">
        <v>11</v>
      </c>
      <c r="F146" s="6">
        <v>45154</v>
      </c>
      <c r="G146" s="9" t="s">
        <v>39</v>
      </c>
      <c r="H146" s="9">
        <f t="shared" si="5"/>
        <v>36</v>
      </c>
      <c r="I146" s="9" t="s">
        <v>38</v>
      </c>
      <c r="J146" s="9" t="s">
        <v>36</v>
      </c>
      <c r="K146" s="19">
        <v>48.747999999999998</v>
      </c>
      <c r="L146" s="22">
        <v>2.5369999999999999</v>
      </c>
      <c r="M146" s="22">
        <v>1.9390000000000001</v>
      </c>
      <c r="N146" t="s">
        <v>14</v>
      </c>
      <c r="O146" t="s">
        <v>40</v>
      </c>
    </row>
    <row r="147" spans="1:15" ht="16" x14ac:dyDescent="0.4">
      <c r="A147">
        <v>74</v>
      </c>
      <c r="B147" t="str">
        <f t="shared" si="4"/>
        <v>2023-09-21_0004</v>
      </c>
      <c r="C147" s="8">
        <v>45190</v>
      </c>
      <c r="D147" s="11">
        <v>4</v>
      </c>
      <c r="E147" s="12" t="s">
        <v>11</v>
      </c>
      <c r="F147" s="6">
        <v>45166</v>
      </c>
      <c r="G147" s="9" t="s">
        <v>36</v>
      </c>
      <c r="H147" s="9">
        <f t="shared" si="5"/>
        <v>24</v>
      </c>
      <c r="I147" s="9" t="s">
        <v>18</v>
      </c>
      <c r="J147" s="9" t="s">
        <v>36</v>
      </c>
      <c r="K147" s="19">
        <v>46.765999999999998</v>
      </c>
      <c r="L147" s="22">
        <v>2.423</v>
      </c>
      <c r="M147" s="22">
        <v>1.899</v>
      </c>
      <c r="N147" t="s">
        <v>14</v>
      </c>
    </row>
    <row r="148" spans="1:15" ht="16" x14ac:dyDescent="0.4">
      <c r="A148">
        <v>74</v>
      </c>
      <c r="B148" t="str">
        <f t="shared" si="4"/>
        <v>2023-09-21_0005</v>
      </c>
      <c r="C148" s="8">
        <v>45190</v>
      </c>
      <c r="D148" s="11">
        <v>5</v>
      </c>
      <c r="E148" s="12" t="s">
        <v>11</v>
      </c>
      <c r="F148" s="6">
        <v>45150</v>
      </c>
      <c r="G148" s="9" t="s">
        <v>36</v>
      </c>
      <c r="H148" s="9">
        <f t="shared" si="5"/>
        <v>40</v>
      </c>
      <c r="I148" s="9" t="s">
        <v>38</v>
      </c>
      <c r="J148" s="9" t="s">
        <v>36</v>
      </c>
      <c r="K148" s="19">
        <v>53.372</v>
      </c>
      <c r="L148" s="22">
        <v>2.5609999999999999</v>
      </c>
      <c r="M148" s="22">
        <v>2.1760000000000002</v>
      </c>
      <c r="N148" t="s">
        <v>14</v>
      </c>
      <c r="O148" t="s">
        <v>42</v>
      </c>
    </row>
    <row r="149" spans="1:15" ht="16" x14ac:dyDescent="0.4">
      <c r="A149">
        <v>74</v>
      </c>
      <c r="B149" t="str">
        <f t="shared" si="4"/>
        <v>2023-09-21_0006</v>
      </c>
      <c r="C149" s="8">
        <v>45190</v>
      </c>
      <c r="D149" s="11">
        <v>6</v>
      </c>
      <c r="E149" s="12" t="s">
        <v>15</v>
      </c>
      <c r="F149" s="6">
        <v>45181</v>
      </c>
      <c r="G149" s="9" t="s">
        <v>39</v>
      </c>
      <c r="H149" s="9">
        <f t="shared" si="5"/>
        <v>9</v>
      </c>
      <c r="I149" s="9" t="s">
        <v>12</v>
      </c>
      <c r="J149" s="9" t="s">
        <v>36</v>
      </c>
      <c r="K149" s="19">
        <v>44.536999999999999</v>
      </c>
      <c r="L149" s="22">
        <v>2.2309999999999999</v>
      </c>
      <c r="M149" s="22">
        <v>1.8420000000000001</v>
      </c>
      <c r="N149" t="s">
        <v>14</v>
      </c>
      <c r="O149" t="s">
        <v>40</v>
      </c>
    </row>
    <row r="150" spans="1:15" ht="16" x14ac:dyDescent="0.4">
      <c r="A150">
        <v>74</v>
      </c>
      <c r="B150" t="str">
        <f t="shared" si="4"/>
        <v>2023-09-21_0007</v>
      </c>
      <c r="C150" s="8">
        <v>45190</v>
      </c>
      <c r="D150" s="11">
        <v>7</v>
      </c>
      <c r="E150" s="12" t="s">
        <v>15</v>
      </c>
      <c r="F150" s="6">
        <v>45166</v>
      </c>
      <c r="G150" s="9" t="s">
        <v>36</v>
      </c>
      <c r="H150" s="9">
        <f t="shared" si="5"/>
        <v>24</v>
      </c>
      <c r="I150" s="9" t="s">
        <v>12</v>
      </c>
      <c r="J150" s="9" t="s">
        <v>36</v>
      </c>
      <c r="K150" s="19">
        <v>45.07</v>
      </c>
      <c r="L150" s="22">
        <v>2.3610000000000002</v>
      </c>
      <c r="M150" s="22">
        <v>1.86</v>
      </c>
      <c r="N150" t="s">
        <v>14</v>
      </c>
    </row>
    <row r="151" spans="1:15" ht="16" x14ac:dyDescent="0.4">
      <c r="A151">
        <v>74</v>
      </c>
      <c r="B151" t="str">
        <f t="shared" si="4"/>
        <v>2023-09-21_0008</v>
      </c>
      <c r="C151" s="8">
        <v>45190</v>
      </c>
      <c r="D151" s="11">
        <v>8</v>
      </c>
      <c r="E151" s="12" t="s">
        <v>15</v>
      </c>
      <c r="F151" s="6">
        <v>45166</v>
      </c>
      <c r="G151" s="9" t="s">
        <v>36</v>
      </c>
      <c r="H151" s="9">
        <f t="shared" si="5"/>
        <v>24</v>
      </c>
      <c r="I151" s="9" t="s">
        <v>38</v>
      </c>
      <c r="J151" s="9" t="s">
        <v>36</v>
      </c>
      <c r="K151" s="19">
        <v>49.945</v>
      </c>
      <c r="L151" s="22">
        <v>2.456</v>
      </c>
      <c r="M151" s="22">
        <v>2.0960000000000001</v>
      </c>
      <c r="N151" t="s">
        <v>14</v>
      </c>
      <c r="O151" t="s">
        <v>42</v>
      </c>
    </row>
    <row r="152" spans="1:15" ht="16" x14ac:dyDescent="0.4">
      <c r="A152">
        <v>74</v>
      </c>
      <c r="B152" t="str">
        <f t="shared" si="4"/>
        <v>2023-09-21_0009</v>
      </c>
      <c r="C152" s="8">
        <v>45190</v>
      </c>
      <c r="D152" s="11">
        <v>9</v>
      </c>
      <c r="E152" s="12" t="s">
        <v>15</v>
      </c>
      <c r="F152" s="6">
        <v>45163</v>
      </c>
      <c r="G152" s="9" t="s">
        <v>36</v>
      </c>
      <c r="H152" s="9">
        <f t="shared" si="5"/>
        <v>27</v>
      </c>
      <c r="I152" s="9" t="s">
        <v>12</v>
      </c>
      <c r="J152" s="9" t="s">
        <v>36</v>
      </c>
      <c r="K152" s="19">
        <v>47.201000000000001</v>
      </c>
      <c r="L152" s="22">
        <v>2.4510000000000001</v>
      </c>
      <c r="M152" s="22">
        <v>2.0819999999999999</v>
      </c>
      <c r="N152" t="s">
        <v>14</v>
      </c>
      <c r="O152" t="s">
        <v>42</v>
      </c>
    </row>
    <row r="153" spans="1:15" ht="16" x14ac:dyDescent="0.4">
      <c r="A153">
        <v>74</v>
      </c>
      <c r="B153" t="str">
        <f t="shared" si="4"/>
        <v>2023-09-21_0010</v>
      </c>
      <c r="C153" s="8">
        <v>45190</v>
      </c>
      <c r="D153" s="11">
        <v>10</v>
      </c>
      <c r="E153" s="12" t="s">
        <v>15</v>
      </c>
      <c r="F153" s="6" t="s">
        <v>21</v>
      </c>
      <c r="G153" s="9" t="s">
        <v>21</v>
      </c>
      <c r="H153" s="9" t="str">
        <f t="shared" si="5"/>
        <v>NA</v>
      </c>
      <c r="I153" s="9" t="s">
        <v>21</v>
      </c>
      <c r="J153" s="9" t="s">
        <v>21</v>
      </c>
      <c r="K153" s="19">
        <v>49.866</v>
      </c>
      <c r="L153" s="22">
        <v>2.431</v>
      </c>
      <c r="M153" s="22">
        <v>1.958</v>
      </c>
      <c r="N153" t="s">
        <v>14</v>
      </c>
      <c r="O153" t="s">
        <v>61</v>
      </c>
    </row>
    <row r="154" spans="1:15" ht="16" x14ac:dyDescent="0.4">
      <c r="A154">
        <v>74</v>
      </c>
      <c r="B154" t="str">
        <f t="shared" si="4"/>
        <v>2023-09-21_0011</v>
      </c>
      <c r="C154" s="8">
        <v>45190</v>
      </c>
      <c r="D154" s="11">
        <v>11</v>
      </c>
      <c r="E154" s="12" t="s">
        <v>11</v>
      </c>
      <c r="F154" s="6">
        <v>45167</v>
      </c>
      <c r="G154" s="9" t="s">
        <v>36</v>
      </c>
      <c r="H154" s="9">
        <f t="shared" si="5"/>
        <v>23</v>
      </c>
      <c r="I154" s="9" t="s">
        <v>18</v>
      </c>
      <c r="J154" s="9" t="s">
        <v>36</v>
      </c>
      <c r="K154" s="19">
        <v>47.009</v>
      </c>
      <c r="L154" s="22">
        <v>2.468</v>
      </c>
      <c r="M154" s="22">
        <v>1.9750000000000001</v>
      </c>
      <c r="N154" t="s">
        <v>14</v>
      </c>
      <c r="O154" t="s">
        <v>42</v>
      </c>
    </row>
    <row r="155" spans="1:15" ht="16" x14ac:dyDescent="0.4">
      <c r="A155">
        <v>74</v>
      </c>
      <c r="B155" t="str">
        <f t="shared" si="4"/>
        <v>2023-09-21_0012</v>
      </c>
      <c r="C155" s="8">
        <v>45190</v>
      </c>
      <c r="D155" s="11">
        <v>12</v>
      </c>
      <c r="E155" s="12" t="s">
        <v>15</v>
      </c>
      <c r="F155" s="6">
        <v>45152</v>
      </c>
      <c r="G155" s="9" t="s">
        <v>36</v>
      </c>
      <c r="H155" s="9">
        <f t="shared" si="5"/>
        <v>38</v>
      </c>
      <c r="I155" s="9" t="s">
        <v>18</v>
      </c>
      <c r="J155" s="9" t="s">
        <v>36</v>
      </c>
      <c r="K155" s="19">
        <v>53.219000000000001</v>
      </c>
      <c r="L155" s="22">
        <v>2.6120000000000001</v>
      </c>
      <c r="M155" s="22">
        <v>2.0739999999999998</v>
      </c>
      <c r="N155" t="s">
        <v>16</v>
      </c>
      <c r="O155" t="s">
        <v>48</v>
      </c>
    </row>
    <row r="156" spans="1:15" ht="16" x14ac:dyDescent="0.4">
      <c r="A156">
        <v>74</v>
      </c>
      <c r="B156" t="str">
        <f t="shared" si="4"/>
        <v>2023-09-21_0013</v>
      </c>
      <c r="C156" s="8">
        <v>45190</v>
      </c>
      <c r="D156" s="11">
        <v>13</v>
      </c>
      <c r="E156" s="12" t="s">
        <v>11</v>
      </c>
      <c r="F156" s="6">
        <v>45147</v>
      </c>
      <c r="G156" s="9" t="s">
        <v>36</v>
      </c>
      <c r="H156" s="9">
        <f t="shared" si="5"/>
        <v>43</v>
      </c>
      <c r="I156" s="9" t="s">
        <v>38</v>
      </c>
      <c r="J156" s="9" t="s">
        <v>36</v>
      </c>
      <c r="K156" s="19" t="s">
        <v>21</v>
      </c>
      <c r="L156" s="22">
        <v>3.0489999999999999</v>
      </c>
      <c r="M156" s="22">
        <v>2.3580000000000001</v>
      </c>
      <c r="N156" t="s">
        <v>16</v>
      </c>
      <c r="O156" t="s">
        <v>48</v>
      </c>
    </row>
    <row r="157" spans="1:15" ht="16" x14ac:dyDescent="0.4">
      <c r="A157">
        <v>74</v>
      </c>
      <c r="B157" t="str">
        <f t="shared" si="4"/>
        <v>2023-09-21_0014</v>
      </c>
      <c r="C157" s="8">
        <v>45190</v>
      </c>
      <c r="D157" s="11">
        <v>14</v>
      </c>
      <c r="E157" s="12" t="s">
        <v>15</v>
      </c>
      <c r="F157" s="6">
        <v>45157</v>
      </c>
      <c r="G157" s="9" t="s">
        <v>39</v>
      </c>
      <c r="H157" s="9">
        <f t="shared" si="5"/>
        <v>33</v>
      </c>
      <c r="I157" s="9" t="s">
        <v>38</v>
      </c>
      <c r="J157" s="9" t="s">
        <v>36</v>
      </c>
      <c r="K157" s="19" t="s">
        <v>21</v>
      </c>
      <c r="L157" s="22">
        <v>2.262</v>
      </c>
      <c r="M157" s="22">
        <v>1.855</v>
      </c>
      <c r="N157" t="s">
        <v>16</v>
      </c>
      <c r="O157" t="s">
        <v>50</v>
      </c>
    </row>
    <row r="158" spans="1:15" ht="16" x14ac:dyDescent="0.4">
      <c r="A158">
        <v>72</v>
      </c>
      <c r="B158" t="str">
        <f t="shared" si="4"/>
        <v>2023-09-19_0001</v>
      </c>
      <c r="C158" s="8">
        <v>45188</v>
      </c>
      <c r="D158" s="11">
        <v>1</v>
      </c>
      <c r="E158" s="12" t="s">
        <v>15</v>
      </c>
      <c r="F158" s="6">
        <v>45177</v>
      </c>
      <c r="G158" s="9" t="s">
        <v>39</v>
      </c>
      <c r="H158" s="9">
        <f t="shared" si="5"/>
        <v>11</v>
      </c>
      <c r="I158" s="9" t="s">
        <v>18</v>
      </c>
      <c r="J158" s="9" t="s">
        <v>36</v>
      </c>
      <c r="K158" s="19">
        <v>44.88</v>
      </c>
      <c r="L158" s="22">
        <v>2.161</v>
      </c>
      <c r="M158" s="22">
        <v>1.9</v>
      </c>
      <c r="N158" t="s">
        <v>14</v>
      </c>
      <c r="O158" t="s">
        <v>40</v>
      </c>
    </row>
    <row r="159" spans="1:15" ht="16" x14ac:dyDescent="0.4">
      <c r="A159">
        <v>72</v>
      </c>
      <c r="B159" t="str">
        <f t="shared" si="4"/>
        <v>2023-09-19_0002</v>
      </c>
      <c r="C159" s="8">
        <v>45188</v>
      </c>
      <c r="D159" s="11">
        <v>2</v>
      </c>
      <c r="E159" s="12" t="s">
        <v>15</v>
      </c>
      <c r="F159" s="6">
        <v>45162</v>
      </c>
      <c r="G159" s="9" t="s">
        <v>36</v>
      </c>
      <c r="H159" s="9">
        <f t="shared" si="5"/>
        <v>26</v>
      </c>
      <c r="I159" s="9" t="s">
        <v>18</v>
      </c>
      <c r="J159" s="9" t="s">
        <v>36</v>
      </c>
      <c r="K159" s="19">
        <v>44.631999999999998</v>
      </c>
      <c r="L159" s="22">
        <v>2.2839999999999998</v>
      </c>
      <c r="M159" s="22">
        <v>1.909</v>
      </c>
      <c r="N159" t="s">
        <v>14</v>
      </c>
    </row>
    <row r="160" spans="1:15" ht="16" x14ac:dyDescent="0.4">
      <c r="A160">
        <v>72</v>
      </c>
      <c r="B160" t="str">
        <f t="shared" si="4"/>
        <v>2023-09-19_0003</v>
      </c>
      <c r="C160" s="8">
        <v>45188</v>
      </c>
      <c r="D160" s="11">
        <v>3</v>
      </c>
      <c r="E160" s="12" t="s">
        <v>15</v>
      </c>
      <c r="F160" s="6">
        <v>45175</v>
      </c>
      <c r="G160" s="9" t="s">
        <v>36</v>
      </c>
      <c r="H160" s="9">
        <f t="shared" si="5"/>
        <v>13</v>
      </c>
      <c r="I160" s="9" t="s">
        <v>17</v>
      </c>
      <c r="J160" s="9" t="s">
        <v>36</v>
      </c>
      <c r="K160" s="19">
        <v>51.478999999999999</v>
      </c>
      <c r="L160" s="22">
        <v>2.6230000000000002</v>
      </c>
      <c r="M160" s="22">
        <v>2.077</v>
      </c>
      <c r="N160" t="s">
        <v>14</v>
      </c>
    </row>
    <row r="161" spans="1:15" ht="16" x14ac:dyDescent="0.4">
      <c r="A161">
        <v>72</v>
      </c>
      <c r="B161" t="str">
        <f t="shared" si="4"/>
        <v>2023-09-19_0004</v>
      </c>
      <c r="C161" s="8">
        <v>45188</v>
      </c>
      <c r="D161" s="11">
        <v>4</v>
      </c>
      <c r="E161" s="12" t="s">
        <v>15</v>
      </c>
      <c r="F161" s="6">
        <v>45175</v>
      </c>
      <c r="G161" s="9" t="s">
        <v>36</v>
      </c>
      <c r="H161" s="9">
        <f t="shared" si="5"/>
        <v>13</v>
      </c>
      <c r="I161" s="9" t="s">
        <v>17</v>
      </c>
      <c r="J161" s="9" t="s">
        <v>36</v>
      </c>
      <c r="K161" s="19">
        <v>49.457999999999998</v>
      </c>
      <c r="L161" s="22">
        <v>2.4420000000000002</v>
      </c>
      <c r="M161" s="22">
        <v>1.9490000000000001</v>
      </c>
      <c r="N161" t="s">
        <v>14</v>
      </c>
    </row>
    <row r="162" spans="1:15" ht="16" x14ac:dyDescent="0.4">
      <c r="A162">
        <v>72</v>
      </c>
      <c r="B162" t="str">
        <f t="shared" si="4"/>
        <v>2023-09-19_0005</v>
      </c>
      <c r="C162" s="8">
        <v>45188</v>
      </c>
      <c r="D162" s="11">
        <v>5</v>
      </c>
      <c r="E162" s="12" t="s">
        <v>15</v>
      </c>
      <c r="F162" s="6">
        <v>45166</v>
      </c>
      <c r="G162" s="9" t="s">
        <v>39</v>
      </c>
      <c r="H162" s="9">
        <f t="shared" si="5"/>
        <v>22</v>
      </c>
      <c r="I162" s="9" t="s">
        <v>38</v>
      </c>
      <c r="J162" s="9" t="s">
        <v>36</v>
      </c>
      <c r="K162" s="19">
        <v>47.234000000000002</v>
      </c>
      <c r="L162" s="22">
        <v>2.3919999999999999</v>
      </c>
      <c r="M162" s="22">
        <v>1.9239999999999999</v>
      </c>
      <c r="N162" t="s">
        <v>14</v>
      </c>
      <c r="O162" t="s">
        <v>40</v>
      </c>
    </row>
    <row r="163" spans="1:15" ht="16" x14ac:dyDescent="0.4">
      <c r="A163">
        <v>72</v>
      </c>
      <c r="B163" t="str">
        <f t="shared" si="4"/>
        <v>2023-09-19_0006</v>
      </c>
      <c r="C163" s="8">
        <v>45188</v>
      </c>
      <c r="D163" s="11">
        <v>6</v>
      </c>
      <c r="E163" s="12" t="s">
        <v>15</v>
      </c>
      <c r="F163" s="6">
        <v>45162</v>
      </c>
      <c r="G163" s="9" t="s">
        <v>36</v>
      </c>
      <c r="H163" s="9">
        <f t="shared" si="5"/>
        <v>26</v>
      </c>
      <c r="I163" s="9" t="s">
        <v>12</v>
      </c>
      <c r="J163" s="9" t="s">
        <v>36</v>
      </c>
      <c r="K163" s="19">
        <v>50.259</v>
      </c>
      <c r="L163" s="22">
        <v>2.5089999999999999</v>
      </c>
      <c r="M163" s="22">
        <v>2.073</v>
      </c>
      <c r="N163" t="s">
        <v>14</v>
      </c>
    </row>
    <row r="164" spans="1:15" ht="16" x14ac:dyDescent="0.4">
      <c r="A164">
        <v>72</v>
      </c>
      <c r="B164" t="str">
        <f t="shared" si="4"/>
        <v>2023-09-19_0007</v>
      </c>
      <c r="C164" s="8">
        <v>45188</v>
      </c>
      <c r="D164" s="11">
        <v>7</v>
      </c>
      <c r="E164" s="12" t="s">
        <v>15</v>
      </c>
      <c r="F164" s="6">
        <v>45156</v>
      </c>
      <c r="G164" s="9" t="s">
        <v>36</v>
      </c>
      <c r="H164" s="9">
        <f t="shared" si="5"/>
        <v>32</v>
      </c>
      <c r="I164" s="9" t="s">
        <v>38</v>
      </c>
      <c r="J164" s="9" t="s">
        <v>36</v>
      </c>
      <c r="K164" s="19">
        <v>49.42</v>
      </c>
      <c r="L164" s="22">
        <v>2.3370000000000002</v>
      </c>
      <c r="M164" s="22">
        <v>1.851</v>
      </c>
      <c r="N164" t="s">
        <v>14</v>
      </c>
    </row>
    <row r="165" spans="1:15" ht="16" x14ac:dyDescent="0.4">
      <c r="A165">
        <v>72</v>
      </c>
      <c r="B165" t="str">
        <f t="shared" si="4"/>
        <v>2023-09-19_0008</v>
      </c>
      <c r="C165" s="8">
        <v>45188</v>
      </c>
      <c r="D165" s="11">
        <v>8</v>
      </c>
      <c r="E165" s="12" t="s">
        <v>15</v>
      </c>
      <c r="F165" s="6">
        <v>45152</v>
      </c>
      <c r="G165" s="9" t="s">
        <v>36</v>
      </c>
      <c r="H165" s="9">
        <f t="shared" si="5"/>
        <v>36</v>
      </c>
      <c r="I165" s="9" t="s">
        <v>12</v>
      </c>
      <c r="J165" s="9" t="s">
        <v>36</v>
      </c>
      <c r="K165" s="19">
        <v>50.542999999999999</v>
      </c>
      <c r="L165" s="22">
        <v>2.5169999999999999</v>
      </c>
      <c r="M165" s="22">
        <v>2.073</v>
      </c>
      <c r="N165" t="s">
        <v>14</v>
      </c>
    </row>
    <row r="166" spans="1:15" ht="16" x14ac:dyDescent="0.4">
      <c r="A166">
        <v>73</v>
      </c>
      <c r="B166" t="str">
        <f t="shared" si="4"/>
        <v>2023-09-19_0009</v>
      </c>
      <c r="C166" s="8">
        <v>45188</v>
      </c>
      <c r="D166" s="11">
        <v>9</v>
      </c>
      <c r="E166" s="12" t="s">
        <v>15</v>
      </c>
      <c r="F166" s="6">
        <v>45156</v>
      </c>
      <c r="G166" s="9" t="s">
        <v>36</v>
      </c>
      <c r="H166" s="9">
        <f t="shared" si="5"/>
        <v>32</v>
      </c>
      <c r="I166" s="9" t="s">
        <v>18</v>
      </c>
      <c r="J166" s="9" t="s">
        <v>36</v>
      </c>
      <c r="K166" s="19">
        <v>42.232999999999997</v>
      </c>
      <c r="L166" s="22">
        <v>2.13</v>
      </c>
      <c r="M166" s="22">
        <v>1.855</v>
      </c>
      <c r="N166" t="s">
        <v>14</v>
      </c>
    </row>
    <row r="167" spans="1:15" ht="16" x14ac:dyDescent="0.4">
      <c r="A167">
        <v>73</v>
      </c>
      <c r="B167" t="str">
        <f t="shared" si="4"/>
        <v>2023-09-19_0010</v>
      </c>
      <c r="C167" s="8">
        <v>45188</v>
      </c>
      <c r="D167" s="11">
        <v>10</v>
      </c>
      <c r="E167" s="12" t="s">
        <v>11</v>
      </c>
      <c r="F167" s="6">
        <v>45158</v>
      </c>
      <c r="G167" s="9" t="s">
        <v>39</v>
      </c>
      <c r="H167" s="9">
        <f t="shared" si="5"/>
        <v>30</v>
      </c>
      <c r="I167" s="9" t="s">
        <v>38</v>
      </c>
      <c r="J167" s="9" t="s">
        <v>36</v>
      </c>
      <c r="K167" s="19">
        <v>52.837000000000003</v>
      </c>
      <c r="L167" s="22">
        <v>2.5329999999999999</v>
      </c>
      <c r="M167" s="22">
        <v>1.978</v>
      </c>
      <c r="N167" t="s">
        <v>14</v>
      </c>
      <c r="O167" t="s">
        <v>40</v>
      </c>
    </row>
    <row r="168" spans="1:15" ht="16" x14ac:dyDescent="0.4">
      <c r="A168">
        <v>73</v>
      </c>
      <c r="B168" t="str">
        <f t="shared" si="4"/>
        <v>2023-09-19_0011</v>
      </c>
      <c r="C168" s="8">
        <v>45188</v>
      </c>
      <c r="D168" s="11">
        <v>11</v>
      </c>
      <c r="E168" s="12" t="s">
        <v>15</v>
      </c>
      <c r="F168" s="6">
        <v>45156</v>
      </c>
      <c r="G168" s="9" t="s">
        <v>36</v>
      </c>
      <c r="H168" s="9">
        <f t="shared" si="5"/>
        <v>32</v>
      </c>
      <c r="I168" s="9" t="s">
        <v>18</v>
      </c>
      <c r="J168" s="9" t="s">
        <v>36</v>
      </c>
      <c r="K168" s="19">
        <v>50.433</v>
      </c>
      <c r="L168" s="22">
        <v>2.4180000000000001</v>
      </c>
      <c r="M168" s="22">
        <v>1.9410000000000001</v>
      </c>
      <c r="N168" t="s">
        <v>14</v>
      </c>
    </row>
    <row r="169" spans="1:15" ht="16" x14ac:dyDescent="0.4">
      <c r="A169">
        <v>73</v>
      </c>
      <c r="B169" t="str">
        <f t="shared" si="4"/>
        <v>2023-09-19_0012</v>
      </c>
      <c r="C169" s="8">
        <v>45188</v>
      </c>
      <c r="D169" s="11">
        <v>12</v>
      </c>
      <c r="E169" s="12" t="s">
        <v>11</v>
      </c>
      <c r="F169" s="6">
        <v>45143</v>
      </c>
      <c r="G169" s="9" t="s">
        <v>36</v>
      </c>
      <c r="H169" s="9">
        <f t="shared" si="5"/>
        <v>45</v>
      </c>
      <c r="I169" s="9" t="s">
        <v>38</v>
      </c>
      <c r="J169" s="9" t="s">
        <v>36</v>
      </c>
      <c r="K169" s="19">
        <v>48.085000000000001</v>
      </c>
      <c r="L169" s="22">
        <v>2.5089999999999999</v>
      </c>
      <c r="M169" s="22">
        <v>2.19</v>
      </c>
      <c r="N169" t="s">
        <v>14</v>
      </c>
      <c r="O169" t="s">
        <v>42</v>
      </c>
    </row>
    <row r="170" spans="1:15" ht="16" x14ac:dyDescent="0.4">
      <c r="A170">
        <v>73</v>
      </c>
      <c r="B170" t="str">
        <f t="shared" si="4"/>
        <v>2023-09-19_0013</v>
      </c>
      <c r="C170" s="8">
        <v>45188</v>
      </c>
      <c r="D170" s="11">
        <v>13</v>
      </c>
      <c r="E170" s="12" t="s">
        <v>15</v>
      </c>
      <c r="F170" s="6" t="s">
        <v>21</v>
      </c>
      <c r="G170" s="9" t="s">
        <v>21</v>
      </c>
      <c r="H170" s="9" t="str">
        <f t="shared" si="5"/>
        <v>NA</v>
      </c>
      <c r="I170" s="9" t="s">
        <v>21</v>
      </c>
      <c r="J170" s="9" t="s">
        <v>21</v>
      </c>
      <c r="K170" s="19">
        <v>45.759</v>
      </c>
      <c r="L170" s="22">
        <v>2.3359999999999999</v>
      </c>
      <c r="M170" s="22">
        <v>1.9890000000000001</v>
      </c>
      <c r="N170" t="s">
        <v>14</v>
      </c>
      <c r="O170" t="s">
        <v>62</v>
      </c>
    </row>
    <row r="171" spans="1:15" ht="16" x14ac:dyDescent="0.4">
      <c r="A171">
        <v>73</v>
      </c>
      <c r="B171" t="str">
        <f t="shared" si="4"/>
        <v>2023-09-19_0014</v>
      </c>
      <c r="C171" s="8">
        <v>45188</v>
      </c>
      <c r="D171" s="11">
        <v>14</v>
      </c>
      <c r="E171" s="12" t="s">
        <v>15</v>
      </c>
      <c r="F171" s="6">
        <v>45163</v>
      </c>
      <c r="G171" s="9" t="s">
        <v>36</v>
      </c>
      <c r="H171" s="9">
        <f t="shared" si="5"/>
        <v>25</v>
      </c>
      <c r="I171" s="9" t="s">
        <v>18</v>
      </c>
      <c r="J171" s="9" t="s">
        <v>36</v>
      </c>
      <c r="K171" s="19">
        <v>49.667999999999999</v>
      </c>
      <c r="L171" s="22">
        <v>2.347</v>
      </c>
      <c r="M171" s="22">
        <v>1.9730000000000001</v>
      </c>
      <c r="N171" t="s">
        <v>14</v>
      </c>
    </row>
    <row r="172" spans="1:15" ht="16" x14ac:dyDescent="0.4">
      <c r="A172">
        <v>73</v>
      </c>
      <c r="B172" t="str">
        <f t="shared" si="4"/>
        <v>2023-09-19_0015</v>
      </c>
      <c r="C172" s="8">
        <v>45188</v>
      </c>
      <c r="D172" s="11">
        <v>15</v>
      </c>
      <c r="E172" s="12" t="s">
        <v>15</v>
      </c>
      <c r="F172" s="6">
        <v>45157</v>
      </c>
      <c r="G172" s="9" t="s">
        <v>36</v>
      </c>
      <c r="H172" s="9">
        <f t="shared" si="5"/>
        <v>31</v>
      </c>
      <c r="I172" s="9" t="s">
        <v>12</v>
      </c>
      <c r="J172" s="9" t="s">
        <v>36</v>
      </c>
      <c r="K172" s="19">
        <v>48.814999999999998</v>
      </c>
      <c r="L172" s="22">
        <v>2.3109999999999999</v>
      </c>
      <c r="M172" s="22">
        <v>1.97</v>
      </c>
      <c r="N172" t="s">
        <v>14</v>
      </c>
    </row>
    <row r="173" spans="1:15" ht="16" x14ac:dyDescent="0.4">
      <c r="A173">
        <v>73</v>
      </c>
      <c r="B173" t="str">
        <f t="shared" si="4"/>
        <v>2023-09-19_0016</v>
      </c>
      <c r="C173" s="8">
        <v>45188</v>
      </c>
      <c r="D173" s="11">
        <v>16</v>
      </c>
      <c r="E173" s="12" t="s">
        <v>15</v>
      </c>
      <c r="F173" s="6">
        <v>45157</v>
      </c>
      <c r="G173" s="9" t="s">
        <v>36</v>
      </c>
      <c r="H173" s="9">
        <f t="shared" si="5"/>
        <v>31</v>
      </c>
      <c r="I173" s="9" t="s">
        <v>38</v>
      </c>
      <c r="J173" s="9" t="s">
        <v>36</v>
      </c>
      <c r="K173" s="19">
        <v>50.656999999999996</v>
      </c>
      <c r="L173" s="22">
        <v>2.4220000000000002</v>
      </c>
      <c r="M173" s="22">
        <v>2.0699999999999998</v>
      </c>
      <c r="N173" t="s">
        <v>14</v>
      </c>
      <c r="O173" t="s">
        <v>42</v>
      </c>
    </row>
    <row r="174" spans="1:15" ht="16" x14ac:dyDescent="0.4">
      <c r="A174">
        <v>73</v>
      </c>
      <c r="B174" t="str">
        <f t="shared" si="4"/>
        <v>2023-09-19_0017</v>
      </c>
      <c r="C174" s="8">
        <v>45188</v>
      </c>
      <c r="D174" s="11">
        <v>17</v>
      </c>
      <c r="E174" s="12" t="s">
        <v>11</v>
      </c>
      <c r="F174" s="6">
        <v>45154</v>
      </c>
      <c r="G174" s="9" t="s">
        <v>36</v>
      </c>
      <c r="H174" s="9">
        <f t="shared" si="5"/>
        <v>34</v>
      </c>
      <c r="I174" s="9" t="s">
        <v>12</v>
      </c>
      <c r="J174" s="9" t="s">
        <v>36</v>
      </c>
      <c r="K174" s="19">
        <v>49.767000000000003</v>
      </c>
      <c r="L174" s="22">
        <v>2.6669999999999998</v>
      </c>
      <c r="M174" s="22">
        <v>2.1989999999999998</v>
      </c>
      <c r="N174" t="s">
        <v>14</v>
      </c>
      <c r="O174" t="s">
        <v>42</v>
      </c>
    </row>
    <row r="175" spans="1:15" ht="16" x14ac:dyDescent="0.4">
      <c r="A175">
        <v>73</v>
      </c>
      <c r="B175" t="str">
        <f t="shared" si="4"/>
        <v>2023-09-19_0018</v>
      </c>
      <c r="C175" s="8">
        <v>45188</v>
      </c>
      <c r="D175" s="11">
        <v>18</v>
      </c>
      <c r="E175" s="12" t="s">
        <v>11</v>
      </c>
      <c r="F175" s="6">
        <v>45159</v>
      </c>
      <c r="G175" s="9" t="s">
        <v>36</v>
      </c>
      <c r="H175" s="9">
        <f t="shared" si="5"/>
        <v>29</v>
      </c>
      <c r="I175" s="9" t="s">
        <v>18</v>
      </c>
      <c r="J175" s="9" t="s">
        <v>36</v>
      </c>
      <c r="K175" s="19">
        <v>43.688000000000002</v>
      </c>
      <c r="L175" s="22">
        <v>2.4550000000000001</v>
      </c>
      <c r="M175" s="22">
        <v>2.0920000000000001</v>
      </c>
      <c r="N175" t="s">
        <v>14</v>
      </c>
      <c r="O175" t="s">
        <v>42</v>
      </c>
    </row>
    <row r="176" spans="1:15" ht="16" x14ac:dyDescent="0.4">
      <c r="A176">
        <v>73</v>
      </c>
      <c r="B176" t="str">
        <f t="shared" si="4"/>
        <v>2023-09-19_0019</v>
      </c>
      <c r="C176" s="8">
        <v>45188</v>
      </c>
      <c r="D176" s="11">
        <v>19</v>
      </c>
      <c r="E176" s="12" t="s">
        <v>15</v>
      </c>
      <c r="F176" s="6">
        <v>45154</v>
      </c>
      <c r="G176" s="9" t="s">
        <v>36</v>
      </c>
      <c r="H176" s="9">
        <f t="shared" si="5"/>
        <v>34</v>
      </c>
      <c r="I176" s="9" t="s">
        <v>38</v>
      </c>
      <c r="J176" s="9" t="s">
        <v>36</v>
      </c>
      <c r="K176" s="19" t="s">
        <v>21</v>
      </c>
      <c r="L176" s="22">
        <v>2.3610000000000002</v>
      </c>
      <c r="M176" s="22">
        <v>1.887</v>
      </c>
      <c r="N176" t="s">
        <v>14</v>
      </c>
      <c r="O176" t="s">
        <v>42</v>
      </c>
    </row>
    <row r="177" spans="1:15" ht="16" x14ac:dyDescent="0.4">
      <c r="A177">
        <v>73</v>
      </c>
      <c r="B177" t="str">
        <f t="shared" si="4"/>
        <v>2023-09-19_0020</v>
      </c>
      <c r="C177" s="8">
        <v>45188</v>
      </c>
      <c r="D177" s="11">
        <v>20</v>
      </c>
      <c r="E177" s="12" t="s">
        <v>11</v>
      </c>
      <c r="F177" s="6">
        <v>45157</v>
      </c>
      <c r="G177" s="9" t="s">
        <v>36</v>
      </c>
      <c r="H177" s="9">
        <f t="shared" si="5"/>
        <v>31</v>
      </c>
      <c r="I177" s="9" t="s">
        <v>18</v>
      </c>
      <c r="J177" s="9" t="s">
        <v>36</v>
      </c>
      <c r="K177" s="19" t="s">
        <v>21</v>
      </c>
      <c r="L177" s="22">
        <v>3.302</v>
      </c>
      <c r="M177" s="22">
        <v>2.25</v>
      </c>
      <c r="N177" t="s">
        <v>16</v>
      </c>
      <c r="O177" t="s">
        <v>63</v>
      </c>
    </row>
    <row r="178" spans="1:15" ht="16" x14ac:dyDescent="0.4">
      <c r="A178">
        <v>71</v>
      </c>
      <c r="B178" t="str">
        <f t="shared" si="4"/>
        <v>2023-09-16_0001</v>
      </c>
      <c r="C178" s="8">
        <v>45185</v>
      </c>
      <c r="D178" s="11">
        <v>1</v>
      </c>
      <c r="E178" s="12" t="s">
        <v>11</v>
      </c>
      <c r="F178" s="6">
        <v>45159</v>
      </c>
      <c r="G178" s="9" t="s">
        <v>36</v>
      </c>
      <c r="H178" s="9">
        <f t="shared" si="5"/>
        <v>26</v>
      </c>
      <c r="I178" s="9" t="s">
        <v>18</v>
      </c>
      <c r="J178" s="9" t="s">
        <v>36</v>
      </c>
      <c r="K178" s="19">
        <v>46.618000000000002</v>
      </c>
      <c r="L178" s="22">
        <v>2.5329999999999999</v>
      </c>
      <c r="M178" s="22">
        <v>2.081</v>
      </c>
      <c r="N178" t="s">
        <v>14</v>
      </c>
    </row>
    <row r="179" spans="1:15" ht="16" x14ac:dyDescent="0.4">
      <c r="A179">
        <v>71</v>
      </c>
      <c r="B179" t="str">
        <f t="shared" si="4"/>
        <v>2023-09-16_0002</v>
      </c>
      <c r="C179" s="8">
        <v>45185</v>
      </c>
      <c r="D179" s="11">
        <v>2</v>
      </c>
      <c r="E179" s="12" t="s">
        <v>11</v>
      </c>
      <c r="F179" s="6">
        <v>45170</v>
      </c>
      <c r="G179" s="9" t="s">
        <v>36</v>
      </c>
      <c r="H179" s="9">
        <f t="shared" si="5"/>
        <v>15</v>
      </c>
      <c r="I179" s="9" t="s">
        <v>17</v>
      </c>
      <c r="J179" s="9" t="s">
        <v>36</v>
      </c>
      <c r="K179" s="19">
        <v>52.356999999999999</v>
      </c>
      <c r="L179" s="22">
        <v>2.641</v>
      </c>
      <c r="M179" s="22">
        <v>2.1429999999999998</v>
      </c>
      <c r="N179" t="s">
        <v>14</v>
      </c>
    </row>
    <row r="180" spans="1:15" ht="16" x14ac:dyDescent="0.4">
      <c r="A180">
        <v>71</v>
      </c>
      <c r="B180" t="str">
        <f t="shared" si="4"/>
        <v>2023-09-16_0003</v>
      </c>
      <c r="C180" s="8">
        <v>45185</v>
      </c>
      <c r="D180" s="11">
        <v>3</v>
      </c>
      <c r="E180" s="12" t="s">
        <v>15</v>
      </c>
      <c r="F180" s="6">
        <v>45156</v>
      </c>
      <c r="G180" s="9" t="s">
        <v>36</v>
      </c>
      <c r="H180" s="9">
        <f t="shared" si="5"/>
        <v>29</v>
      </c>
      <c r="I180" s="9" t="s">
        <v>12</v>
      </c>
      <c r="J180" s="9" t="s">
        <v>36</v>
      </c>
      <c r="K180" s="19">
        <v>48.127000000000002</v>
      </c>
      <c r="L180" s="22">
        <v>2.238</v>
      </c>
      <c r="M180" s="22">
        <v>1.9590000000000001</v>
      </c>
      <c r="N180" t="s">
        <v>14</v>
      </c>
    </row>
    <row r="181" spans="1:15" ht="16" x14ac:dyDescent="0.4">
      <c r="A181">
        <v>71</v>
      </c>
      <c r="B181" t="str">
        <f t="shared" si="4"/>
        <v>2023-09-16_0004</v>
      </c>
      <c r="C181" s="8">
        <v>45185</v>
      </c>
      <c r="D181" s="11">
        <v>4</v>
      </c>
      <c r="E181" s="12" t="s">
        <v>15</v>
      </c>
      <c r="F181" s="6">
        <v>45171</v>
      </c>
      <c r="G181" s="9" t="s">
        <v>39</v>
      </c>
      <c r="H181" s="9">
        <f t="shared" si="5"/>
        <v>14</v>
      </c>
      <c r="I181" s="9" t="s">
        <v>12</v>
      </c>
      <c r="J181" s="9" t="s">
        <v>36</v>
      </c>
      <c r="K181" s="19">
        <v>42.512999999999998</v>
      </c>
      <c r="L181" s="22">
        <v>2.1520000000000001</v>
      </c>
      <c r="M181" s="22">
        <v>1.778</v>
      </c>
      <c r="N181" t="s">
        <v>14</v>
      </c>
      <c r="O181" t="s">
        <v>40</v>
      </c>
    </row>
    <row r="182" spans="1:15" ht="16" x14ac:dyDescent="0.4">
      <c r="A182">
        <v>71</v>
      </c>
      <c r="B182" t="str">
        <f t="shared" si="4"/>
        <v>2023-09-16_0005</v>
      </c>
      <c r="C182" s="8">
        <v>45185</v>
      </c>
      <c r="D182" s="11">
        <v>5</v>
      </c>
      <c r="E182" s="12" t="s">
        <v>11</v>
      </c>
      <c r="F182" s="6">
        <v>45166</v>
      </c>
      <c r="G182" s="9" t="s">
        <v>36</v>
      </c>
      <c r="H182" s="9">
        <f t="shared" si="5"/>
        <v>19</v>
      </c>
      <c r="I182" s="9" t="s">
        <v>38</v>
      </c>
      <c r="J182" s="9" t="s">
        <v>36</v>
      </c>
      <c r="K182" s="19">
        <v>49.031999999999996</v>
      </c>
      <c r="L182" s="22">
        <v>2.62</v>
      </c>
      <c r="M182" s="22">
        <v>2.0630000000000002</v>
      </c>
      <c r="N182" t="s">
        <v>14</v>
      </c>
      <c r="O182" t="s">
        <v>42</v>
      </c>
    </row>
    <row r="183" spans="1:15" ht="16" x14ac:dyDescent="0.4">
      <c r="A183">
        <v>71</v>
      </c>
      <c r="B183" t="str">
        <f t="shared" si="4"/>
        <v>2023-09-16_0006</v>
      </c>
      <c r="C183" s="8">
        <v>45185</v>
      </c>
      <c r="D183" s="11">
        <v>6</v>
      </c>
      <c r="E183" s="12" t="s">
        <v>15</v>
      </c>
      <c r="F183" s="6">
        <v>45161</v>
      </c>
      <c r="G183" s="9" t="s">
        <v>36</v>
      </c>
      <c r="H183" s="9">
        <f t="shared" si="5"/>
        <v>24</v>
      </c>
      <c r="I183" s="9" t="s">
        <v>18</v>
      </c>
      <c r="J183" s="9" t="s">
        <v>36</v>
      </c>
      <c r="K183" s="19">
        <v>49.628</v>
      </c>
      <c r="L183" s="22">
        <v>2.2530000000000001</v>
      </c>
      <c r="M183" s="22">
        <v>1.849</v>
      </c>
      <c r="N183" t="s">
        <v>14</v>
      </c>
      <c r="O183" t="s">
        <v>42</v>
      </c>
    </row>
    <row r="184" spans="1:15" ht="16" x14ac:dyDescent="0.4">
      <c r="A184">
        <v>71</v>
      </c>
      <c r="B184" t="str">
        <f t="shared" si="4"/>
        <v>2023-09-16_0007</v>
      </c>
      <c r="C184" s="8">
        <v>45185</v>
      </c>
      <c r="D184" s="11">
        <v>7</v>
      </c>
      <c r="E184" s="12" t="s">
        <v>15</v>
      </c>
      <c r="F184" s="6">
        <v>45163</v>
      </c>
      <c r="G184" s="9" t="s">
        <v>36</v>
      </c>
      <c r="H184" s="9">
        <f t="shared" si="5"/>
        <v>22</v>
      </c>
      <c r="I184" s="9" t="s">
        <v>12</v>
      </c>
      <c r="J184" s="9" t="s">
        <v>36</v>
      </c>
      <c r="K184" s="19">
        <v>42.606000000000002</v>
      </c>
      <c r="L184" s="22">
        <v>2.1139999999999999</v>
      </c>
      <c r="M184" s="22">
        <v>1.88</v>
      </c>
      <c r="N184" t="s">
        <v>14</v>
      </c>
    </row>
    <row r="185" spans="1:15" ht="16" x14ac:dyDescent="0.4">
      <c r="A185">
        <v>71</v>
      </c>
      <c r="B185" t="str">
        <f t="shared" si="4"/>
        <v>2023-09-16_0008</v>
      </c>
      <c r="C185" s="8">
        <v>45185</v>
      </c>
      <c r="D185" s="11">
        <v>8</v>
      </c>
      <c r="E185" s="12" t="s">
        <v>11</v>
      </c>
      <c r="F185" s="6">
        <v>45157</v>
      </c>
      <c r="G185" s="9" t="s">
        <v>36</v>
      </c>
      <c r="H185" s="9">
        <f t="shared" si="5"/>
        <v>28</v>
      </c>
      <c r="I185" s="9" t="s">
        <v>18</v>
      </c>
      <c r="J185" s="9" t="s">
        <v>36</v>
      </c>
      <c r="K185" s="19">
        <v>46.774999999999999</v>
      </c>
      <c r="L185" s="22">
        <v>2.4239999999999999</v>
      </c>
      <c r="M185" s="22">
        <v>2.056</v>
      </c>
      <c r="N185" t="s">
        <v>14</v>
      </c>
      <c r="O185" t="s">
        <v>42</v>
      </c>
    </row>
    <row r="186" spans="1:15" ht="16" x14ac:dyDescent="0.4">
      <c r="A186">
        <v>71</v>
      </c>
      <c r="B186" t="str">
        <f t="shared" si="4"/>
        <v>2023-09-16_0009</v>
      </c>
      <c r="C186" s="8">
        <v>45185</v>
      </c>
      <c r="D186" s="11">
        <v>9</v>
      </c>
      <c r="E186" s="12" t="s">
        <v>11</v>
      </c>
      <c r="F186" s="6">
        <v>45150</v>
      </c>
      <c r="G186" s="9" t="s">
        <v>36</v>
      </c>
      <c r="H186" s="9">
        <f t="shared" si="5"/>
        <v>35</v>
      </c>
      <c r="I186" s="9" t="s">
        <v>12</v>
      </c>
      <c r="J186" s="9" t="s">
        <v>36</v>
      </c>
      <c r="K186" s="19">
        <v>48.125</v>
      </c>
      <c r="L186" s="22">
        <v>2.4630000000000001</v>
      </c>
      <c r="M186" s="22">
        <v>2.0230000000000001</v>
      </c>
      <c r="N186" t="s">
        <v>14</v>
      </c>
      <c r="O186" t="s">
        <v>42</v>
      </c>
    </row>
    <row r="187" spans="1:15" ht="16" x14ac:dyDescent="0.4">
      <c r="A187">
        <v>71</v>
      </c>
      <c r="B187" t="str">
        <f t="shared" si="4"/>
        <v>2023-09-16_0010</v>
      </c>
      <c r="C187" s="8">
        <v>45185</v>
      </c>
      <c r="D187" s="11">
        <v>10</v>
      </c>
      <c r="E187" s="12" t="s">
        <v>11</v>
      </c>
      <c r="F187" s="6">
        <v>45181</v>
      </c>
      <c r="G187" s="9" t="s">
        <v>39</v>
      </c>
      <c r="H187" s="9">
        <f t="shared" si="5"/>
        <v>4</v>
      </c>
      <c r="I187" s="9" t="s">
        <v>12</v>
      </c>
      <c r="J187" s="9" t="s">
        <v>36</v>
      </c>
      <c r="K187" s="19">
        <v>49.341999999999999</v>
      </c>
      <c r="L187" s="22">
        <v>2.52</v>
      </c>
      <c r="M187" s="22">
        <v>2.2200000000000002</v>
      </c>
      <c r="N187" t="s">
        <v>14</v>
      </c>
      <c r="O187" t="s">
        <v>59</v>
      </c>
    </row>
    <row r="188" spans="1:15" ht="16" x14ac:dyDescent="0.4">
      <c r="A188">
        <v>71</v>
      </c>
      <c r="B188" t="str">
        <f t="shared" si="4"/>
        <v>2023-09-16_0011</v>
      </c>
      <c r="C188" s="8">
        <v>45185</v>
      </c>
      <c r="D188" s="11">
        <v>11</v>
      </c>
      <c r="E188" s="12" t="s">
        <v>11</v>
      </c>
      <c r="F188" s="6">
        <v>45168</v>
      </c>
      <c r="G188" s="9" t="s">
        <v>39</v>
      </c>
      <c r="H188" s="9">
        <f t="shared" si="5"/>
        <v>17</v>
      </c>
      <c r="I188" s="9" t="s">
        <v>38</v>
      </c>
      <c r="J188" s="9" t="s">
        <v>36</v>
      </c>
      <c r="K188" s="19">
        <v>47.773000000000003</v>
      </c>
      <c r="L188" s="22">
        <v>2.5499999999999998</v>
      </c>
      <c r="M188" s="22">
        <v>2.0630000000000002</v>
      </c>
      <c r="N188" t="s">
        <v>14</v>
      </c>
      <c r="O188" t="s">
        <v>59</v>
      </c>
    </row>
    <row r="189" spans="1:15" ht="16" x14ac:dyDescent="0.4">
      <c r="A189">
        <v>71</v>
      </c>
      <c r="B189" t="str">
        <f t="shared" si="4"/>
        <v>2023-09-16_0012</v>
      </c>
      <c r="C189" s="8">
        <v>45185</v>
      </c>
      <c r="D189" s="11">
        <v>12</v>
      </c>
      <c r="E189" s="12" t="s">
        <v>11</v>
      </c>
      <c r="F189" s="6" t="s">
        <v>21</v>
      </c>
      <c r="G189" s="9" t="s">
        <v>21</v>
      </c>
      <c r="H189" s="9" t="str">
        <f t="shared" si="5"/>
        <v>NA</v>
      </c>
      <c r="I189" s="9" t="s">
        <v>21</v>
      </c>
      <c r="J189" s="9" t="s">
        <v>21</v>
      </c>
      <c r="K189" s="19" t="s">
        <v>21</v>
      </c>
      <c r="L189" s="22">
        <v>2.5209999999999999</v>
      </c>
      <c r="M189" s="22">
        <v>2.0230000000000001</v>
      </c>
      <c r="N189" t="s">
        <v>16</v>
      </c>
      <c r="O189" t="s">
        <v>64</v>
      </c>
    </row>
    <row r="190" spans="1:15" ht="16" x14ac:dyDescent="0.4">
      <c r="A190">
        <v>70</v>
      </c>
      <c r="B190" t="str">
        <f t="shared" si="4"/>
        <v>2023-09-13_0001</v>
      </c>
      <c r="C190" s="8">
        <v>45182</v>
      </c>
      <c r="D190" s="11">
        <v>1</v>
      </c>
      <c r="E190" s="12" t="s">
        <v>11</v>
      </c>
      <c r="F190" s="6">
        <v>45168</v>
      </c>
      <c r="G190" s="9" t="s">
        <v>36</v>
      </c>
      <c r="H190" s="9">
        <f t="shared" si="5"/>
        <v>14</v>
      </c>
      <c r="I190" s="9" t="s">
        <v>38</v>
      </c>
      <c r="J190" s="9" t="s">
        <v>36</v>
      </c>
      <c r="K190" s="22">
        <v>47.49</v>
      </c>
      <c r="L190" s="22">
        <v>2.5449999999999999</v>
      </c>
      <c r="M190" s="22">
        <v>2.0910000000000002</v>
      </c>
      <c r="N190" t="s">
        <v>14</v>
      </c>
    </row>
    <row r="191" spans="1:15" ht="16" x14ac:dyDescent="0.4">
      <c r="A191">
        <v>70</v>
      </c>
      <c r="B191" t="str">
        <f t="shared" si="4"/>
        <v>2023-09-13_0002</v>
      </c>
      <c r="C191" s="8">
        <v>45182</v>
      </c>
      <c r="D191" s="11">
        <v>2</v>
      </c>
      <c r="E191" s="12" t="s">
        <v>15</v>
      </c>
      <c r="F191" s="6">
        <v>45150</v>
      </c>
      <c r="G191" s="9" t="s">
        <v>36</v>
      </c>
      <c r="H191" s="9">
        <f t="shared" si="5"/>
        <v>32</v>
      </c>
      <c r="I191" s="9" t="s">
        <v>38</v>
      </c>
      <c r="J191" s="9" t="s">
        <v>36</v>
      </c>
      <c r="K191" s="22">
        <v>49.531999999999996</v>
      </c>
      <c r="L191" s="22">
        <v>2.4670000000000001</v>
      </c>
      <c r="M191" s="22">
        <v>2.052</v>
      </c>
      <c r="N191" t="s">
        <v>14</v>
      </c>
    </row>
    <row r="192" spans="1:15" ht="16" x14ac:dyDescent="0.4">
      <c r="A192">
        <v>70</v>
      </c>
      <c r="B192" t="str">
        <f t="shared" si="4"/>
        <v>2023-09-13_0003</v>
      </c>
      <c r="C192" s="8">
        <v>45182</v>
      </c>
      <c r="D192" s="11">
        <v>3</v>
      </c>
      <c r="E192" s="12" t="s">
        <v>15</v>
      </c>
      <c r="F192" s="6">
        <v>45150</v>
      </c>
      <c r="G192" s="9" t="s">
        <v>36</v>
      </c>
      <c r="H192" s="9">
        <f t="shared" si="5"/>
        <v>32</v>
      </c>
      <c r="I192" s="9" t="s">
        <v>12</v>
      </c>
      <c r="J192" s="9" t="s">
        <v>36</v>
      </c>
      <c r="K192" s="22">
        <v>50.478000000000002</v>
      </c>
      <c r="L192" s="22">
        <v>2.5409999999999999</v>
      </c>
      <c r="M192" s="22">
        <v>2.0459999999999998</v>
      </c>
      <c r="N192" t="s">
        <v>14</v>
      </c>
    </row>
    <row r="193" spans="1:15" ht="16" x14ac:dyDescent="0.4">
      <c r="A193">
        <v>70</v>
      </c>
      <c r="B193" t="str">
        <f t="shared" si="4"/>
        <v>2023-09-13_0004</v>
      </c>
      <c r="C193" s="8">
        <v>45182</v>
      </c>
      <c r="D193" s="11">
        <v>4</v>
      </c>
      <c r="E193" s="12" t="s">
        <v>15</v>
      </c>
      <c r="F193" s="6">
        <v>45156</v>
      </c>
      <c r="G193" s="9" t="s">
        <v>36</v>
      </c>
      <c r="H193" s="9">
        <f t="shared" si="5"/>
        <v>26</v>
      </c>
      <c r="I193" s="9" t="s">
        <v>38</v>
      </c>
      <c r="J193" s="9" t="s">
        <v>36</v>
      </c>
      <c r="K193" s="22">
        <v>52.567</v>
      </c>
      <c r="L193" s="22">
        <v>2.5059999999999998</v>
      </c>
      <c r="M193" s="22">
        <v>2.0510000000000002</v>
      </c>
      <c r="N193" t="s">
        <v>14</v>
      </c>
    </row>
    <row r="194" spans="1:15" ht="16" x14ac:dyDescent="0.4">
      <c r="A194">
        <v>70</v>
      </c>
      <c r="B194" t="str">
        <f t="shared" ref="B194:B257" si="6">IF(ISBLANK(C194),NA(),_xlfn.CONCAT(TEXT(C194,"YYYY-MM-DD"),"_",TEXT(D194,"0000")))</f>
        <v>2023-09-13_0005</v>
      </c>
      <c r="C194" s="8">
        <v>45182</v>
      </c>
      <c r="D194" s="11">
        <v>5</v>
      </c>
      <c r="E194" s="12" t="s">
        <v>15</v>
      </c>
      <c r="F194" s="6">
        <v>45145</v>
      </c>
      <c r="G194" s="9" t="s">
        <v>39</v>
      </c>
      <c r="H194" s="9">
        <f t="shared" ref="H194:H257" si="7">IF(F194="NA","NA", DATEDIF(F194,C194,"d"))</f>
        <v>37</v>
      </c>
      <c r="I194" s="9" t="s">
        <v>12</v>
      </c>
      <c r="J194" s="9" t="s">
        <v>39</v>
      </c>
      <c r="K194" s="22">
        <v>48.978000000000002</v>
      </c>
      <c r="L194" s="22">
        <v>2.5329999999999999</v>
      </c>
      <c r="M194" s="22">
        <v>2.0840000000000001</v>
      </c>
      <c r="N194" t="s">
        <v>14</v>
      </c>
      <c r="O194" t="s">
        <v>56</v>
      </c>
    </row>
    <row r="195" spans="1:15" ht="16" x14ac:dyDescent="0.4">
      <c r="A195">
        <v>70</v>
      </c>
      <c r="B195" t="str">
        <f t="shared" si="6"/>
        <v>2023-09-13_0006</v>
      </c>
      <c r="C195" s="8">
        <v>45182</v>
      </c>
      <c r="D195" s="11">
        <v>6</v>
      </c>
      <c r="E195" s="12" t="s">
        <v>15</v>
      </c>
      <c r="F195" s="6">
        <v>45170</v>
      </c>
      <c r="G195" s="9" t="s">
        <v>36</v>
      </c>
      <c r="H195" s="9">
        <f t="shared" si="7"/>
        <v>12</v>
      </c>
      <c r="I195" s="9" t="s">
        <v>17</v>
      </c>
      <c r="J195" s="9" t="s">
        <v>36</v>
      </c>
      <c r="K195" s="22">
        <v>44.776000000000003</v>
      </c>
      <c r="L195" s="22">
        <v>2.3359999999999999</v>
      </c>
      <c r="M195" s="22">
        <v>1.74</v>
      </c>
      <c r="N195" t="s">
        <v>14</v>
      </c>
      <c r="O195" t="s">
        <v>42</v>
      </c>
    </row>
    <row r="196" spans="1:15" ht="16" x14ac:dyDescent="0.4">
      <c r="A196">
        <v>70</v>
      </c>
      <c r="B196" t="str">
        <f t="shared" si="6"/>
        <v>2023-09-13_0007</v>
      </c>
      <c r="C196" s="8">
        <v>45182</v>
      </c>
      <c r="D196" s="11">
        <v>7</v>
      </c>
      <c r="E196" s="12" t="s">
        <v>15</v>
      </c>
      <c r="F196" s="6">
        <v>45156</v>
      </c>
      <c r="G196" s="9" t="s">
        <v>36</v>
      </c>
      <c r="H196" s="9">
        <f t="shared" si="7"/>
        <v>26</v>
      </c>
      <c r="I196" s="9" t="s">
        <v>12</v>
      </c>
      <c r="J196" s="9" t="s">
        <v>36</v>
      </c>
      <c r="K196" s="22">
        <v>48.814</v>
      </c>
      <c r="L196" s="22">
        <v>2.52</v>
      </c>
      <c r="M196" s="22">
        <v>2.0880000000000001</v>
      </c>
      <c r="N196" t="s">
        <v>14</v>
      </c>
      <c r="O196" t="s">
        <v>42</v>
      </c>
    </row>
    <row r="197" spans="1:15" ht="16" x14ac:dyDescent="0.4">
      <c r="A197">
        <v>70</v>
      </c>
      <c r="B197" t="str">
        <f t="shared" si="6"/>
        <v>2023-09-13_0008</v>
      </c>
      <c r="C197" s="8">
        <v>45182</v>
      </c>
      <c r="D197" s="11">
        <v>8</v>
      </c>
      <c r="E197" s="12" t="s">
        <v>11</v>
      </c>
      <c r="F197" s="6">
        <v>45157</v>
      </c>
      <c r="G197" s="9" t="s">
        <v>36</v>
      </c>
      <c r="H197" s="9">
        <f t="shared" si="7"/>
        <v>25</v>
      </c>
      <c r="I197" s="9" t="s">
        <v>12</v>
      </c>
      <c r="J197" s="9" t="s">
        <v>36</v>
      </c>
      <c r="K197" s="19">
        <v>48.246000000000002</v>
      </c>
      <c r="L197" s="22">
        <v>2.6459999999999999</v>
      </c>
      <c r="M197" s="22">
        <v>2.1419999999999999</v>
      </c>
      <c r="N197" t="s">
        <v>14</v>
      </c>
      <c r="O197" t="s">
        <v>42</v>
      </c>
    </row>
    <row r="198" spans="1:15" ht="16" x14ac:dyDescent="0.4">
      <c r="A198">
        <v>70</v>
      </c>
      <c r="B198" t="str">
        <f t="shared" si="6"/>
        <v>2023-09-13_0009</v>
      </c>
      <c r="C198" s="8">
        <v>45182</v>
      </c>
      <c r="D198" s="11">
        <v>9</v>
      </c>
      <c r="E198" s="12" t="s">
        <v>11</v>
      </c>
      <c r="F198" s="6">
        <v>45166</v>
      </c>
      <c r="G198" s="9" t="s">
        <v>36</v>
      </c>
      <c r="H198" s="9">
        <f t="shared" si="7"/>
        <v>16</v>
      </c>
      <c r="I198" s="9" t="s">
        <v>38</v>
      </c>
      <c r="J198" s="9" t="s">
        <v>36</v>
      </c>
      <c r="K198" s="19">
        <v>51.776000000000003</v>
      </c>
      <c r="L198" s="22">
        <v>2.536</v>
      </c>
      <c r="M198" s="22">
        <v>2.125</v>
      </c>
      <c r="N198" t="s">
        <v>14</v>
      </c>
      <c r="O198" t="s">
        <v>42</v>
      </c>
    </row>
    <row r="199" spans="1:15" ht="16" x14ac:dyDescent="0.4">
      <c r="A199">
        <v>70</v>
      </c>
      <c r="B199" t="str">
        <f t="shared" si="6"/>
        <v>2023-09-13_0010</v>
      </c>
      <c r="C199" s="8">
        <v>45182</v>
      </c>
      <c r="D199" s="11">
        <v>10</v>
      </c>
      <c r="E199" s="12" t="s">
        <v>15</v>
      </c>
      <c r="F199" s="6">
        <v>45150</v>
      </c>
      <c r="G199" s="9" t="s">
        <v>36</v>
      </c>
      <c r="H199" s="9">
        <f t="shared" si="7"/>
        <v>32</v>
      </c>
      <c r="I199" s="9" t="s">
        <v>38</v>
      </c>
      <c r="J199" s="9" t="s">
        <v>36</v>
      </c>
      <c r="K199" s="19">
        <v>53.14</v>
      </c>
      <c r="L199" s="22">
        <v>2.7080000000000002</v>
      </c>
      <c r="M199" s="22">
        <v>2.153</v>
      </c>
      <c r="N199" t="s">
        <v>14</v>
      </c>
      <c r="O199" t="s">
        <v>42</v>
      </c>
    </row>
    <row r="200" spans="1:15" ht="16" x14ac:dyDescent="0.4">
      <c r="A200">
        <v>70</v>
      </c>
      <c r="B200" t="str">
        <f t="shared" si="6"/>
        <v>2023-09-13_0011</v>
      </c>
      <c r="C200" s="8">
        <v>45182</v>
      </c>
      <c r="D200" s="11">
        <v>11</v>
      </c>
      <c r="E200" s="12" t="s">
        <v>15</v>
      </c>
      <c r="F200" s="6">
        <v>45156</v>
      </c>
      <c r="G200" s="9" t="s">
        <v>36</v>
      </c>
      <c r="H200" s="9">
        <f t="shared" si="7"/>
        <v>26</v>
      </c>
      <c r="I200" s="9" t="s">
        <v>18</v>
      </c>
      <c r="J200" s="9" t="s">
        <v>36</v>
      </c>
      <c r="K200" s="19" t="s">
        <v>21</v>
      </c>
      <c r="L200" s="22">
        <v>2.202</v>
      </c>
      <c r="M200" s="22">
        <v>1.923</v>
      </c>
      <c r="N200" t="s">
        <v>16</v>
      </c>
      <c r="O200" t="s">
        <v>48</v>
      </c>
    </row>
    <row r="201" spans="1:15" ht="16" x14ac:dyDescent="0.4">
      <c r="A201">
        <v>69</v>
      </c>
      <c r="B201" t="str">
        <f t="shared" si="6"/>
        <v>2023-09-12_0001</v>
      </c>
      <c r="C201" s="8">
        <v>45181</v>
      </c>
      <c r="D201" s="11">
        <v>1</v>
      </c>
      <c r="E201" s="12" t="s">
        <v>11</v>
      </c>
      <c r="F201" s="6">
        <v>45163</v>
      </c>
      <c r="G201" s="9" t="s">
        <v>36</v>
      </c>
      <c r="H201" s="9">
        <f t="shared" si="7"/>
        <v>18</v>
      </c>
      <c r="I201" s="9" t="s">
        <v>18</v>
      </c>
      <c r="J201" s="9" t="s">
        <v>36</v>
      </c>
      <c r="K201" s="19">
        <v>49.781999999999996</v>
      </c>
      <c r="L201" s="22">
        <v>2.5550000000000002</v>
      </c>
      <c r="M201" s="22">
        <v>2.2309999999999999</v>
      </c>
      <c r="N201" t="s">
        <v>14</v>
      </c>
      <c r="O201" t="s">
        <v>42</v>
      </c>
    </row>
    <row r="202" spans="1:15" ht="16" x14ac:dyDescent="0.4">
      <c r="A202">
        <v>69</v>
      </c>
      <c r="B202" t="str">
        <f t="shared" si="6"/>
        <v>2023-09-12_0002</v>
      </c>
      <c r="C202" s="8">
        <v>45181</v>
      </c>
      <c r="D202" s="11">
        <v>2</v>
      </c>
      <c r="E202" s="12" t="s">
        <v>11</v>
      </c>
      <c r="F202" s="6">
        <v>45179</v>
      </c>
      <c r="G202" s="9" t="s">
        <v>39</v>
      </c>
      <c r="H202" s="9">
        <f t="shared" si="7"/>
        <v>2</v>
      </c>
      <c r="I202" s="9" t="s">
        <v>38</v>
      </c>
      <c r="J202" s="9" t="s">
        <v>36</v>
      </c>
      <c r="K202" s="19">
        <v>44.003999999999998</v>
      </c>
      <c r="L202" s="22">
        <v>2.383</v>
      </c>
      <c r="M202" s="22">
        <v>1.976</v>
      </c>
      <c r="N202" t="s">
        <v>14</v>
      </c>
      <c r="O202" t="s">
        <v>40</v>
      </c>
    </row>
    <row r="203" spans="1:15" ht="16" x14ac:dyDescent="0.4">
      <c r="A203">
        <v>69</v>
      </c>
      <c r="B203" t="str">
        <f t="shared" si="6"/>
        <v>2023-09-12_0003</v>
      </c>
      <c r="C203" s="8">
        <v>45181</v>
      </c>
      <c r="D203" s="11">
        <v>3</v>
      </c>
      <c r="E203" s="12" t="s">
        <v>15</v>
      </c>
      <c r="F203" s="6">
        <v>45156</v>
      </c>
      <c r="G203" s="9" t="s">
        <v>36</v>
      </c>
      <c r="H203" s="9">
        <f t="shared" si="7"/>
        <v>25</v>
      </c>
      <c r="I203" s="9" t="s">
        <v>38</v>
      </c>
      <c r="J203" s="9" t="s">
        <v>36</v>
      </c>
      <c r="K203" s="19">
        <v>54.151000000000003</v>
      </c>
      <c r="L203" s="22">
        <v>2.66</v>
      </c>
      <c r="M203" s="22">
        <v>2.085</v>
      </c>
      <c r="N203" t="s">
        <v>14</v>
      </c>
    </row>
    <row r="204" spans="1:15" ht="16" x14ac:dyDescent="0.4">
      <c r="A204">
        <v>69</v>
      </c>
      <c r="B204" t="str">
        <f t="shared" si="6"/>
        <v>2023-09-12_0004</v>
      </c>
      <c r="C204" s="8">
        <v>45181</v>
      </c>
      <c r="D204" s="11">
        <v>4</v>
      </c>
      <c r="E204" s="12" t="s">
        <v>15</v>
      </c>
      <c r="F204" s="6">
        <v>45154</v>
      </c>
      <c r="G204" s="9" t="s">
        <v>36</v>
      </c>
      <c r="H204" s="9">
        <f t="shared" si="7"/>
        <v>27</v>
      </c>
      <c r="I204" s="9" t="s">
        <v>38</v>
      </c>
      <c r="J204" s="9" t="s">
        <v>36</v>
      </c>
      <c r="K204" s="19">
        <v>48.09</v>
      </c>
      <c r="L204" s="22">
        <v>2.3639999999999999</v>
      </c>
      <c r="M204" s="22">
        <v>1.8919999999999999</v>
      </c>
      <c r="N204" t="s">
        <v>14</v>
      </c>
      <c r="O204" t="s">
        <v>42</v>
      </c>
    </row>
    <row r="205" spans="1:15" ht="16" x14ac:dyDescent="0.4">
      <c r="A205">
        <v>69</v>
      </c>
      <c r="B205" t="str">
        <f t="shared" si="6"/>
        <v>2023-09-12_0005</v>
      </c>
      <c r="C205" s="8">
        <v>45181</v>
      </c>
      <c r="D205" s="11">
        <v>5</v>
      </c>
      <c r="E205" s="12" t="s">
        <v>15</v>
      </c>
      <c r="F205" s="6">
        <v>45152</v>
      </c>
      <c r="G205" s="9" t="s">
        <v>36</v>
      </c>
      <c r="H205" s="9">
        <f t="shared" si="7"/>
        <v>29</v>
      </c>
      <c r="I205" s="9" t="s">
        <v>12</v>
      </c>
      <c r="J205" s="9" t="s">
        <v>36</v>
      </c>
      <c r="K205" s="19">
        <v>49.302</v>
      </c>
      <c r="L205" s="22">
        <v>2.391</v>
      </c>
      <c r="M205" s="22">
        <v>2.0510000000000002</v>
      </c>
      <c r="N205" t="s">
        <v>14</v>
      </c>
    </row>
    <row r="206" spans="1:15" ht="16" x14ac:dyDescent="0.4">
      <c r="A206">
        <v>69</v>
      </c>
      <c r="B206" t="str">
        <f t="shared" si="6"/>
        <v>2023-09-12_0006</v>
      </c>
      <c r="C206" s="8">
        <v>45181</v>
      </c>
      <c r="D206" s="11">
        <v>6</v>
      </c>
      <c r="E206" s="12" t="s">
        <v>15</v>
      </c>
      <c r="F206" s="6">
        <v>45161</v>
      </c>
      <c r="G206" s="9" t="s">
        <v>36</v>
      </c>
      <c r="H206" s="9">
        <f t="shared" si="7"/>
        <v>20</v>
      </c>
      <c r="I206" s="9" t="s">
        <v>18</v>
      </c>
      <c r="J206" s="9" t="s">
        <v>36</v>
      </c>
      <c r="K206" s="19">
        <v>46.893000000000001</v>
      </c>
      <c r="L206" s="22">
        <v>2.351</v>
      </c>
      <c r="M206" s="22">
        <v>2.0779999999999998</v>
      </c>
      <c r="N206" t="s">
        <v>14</v>
      </c>
    </row>
    <row r="207" spans="1:15" ht="16" x14ac:dyDescent="0.4">
      <c r="A207">
        <v>69</v>
      </c>
      <c r="B207" t="str">
        <f t="shared" si="6"/>
        <v>2023-09-12_0007</v>
      </c>
      <c r="C207" s="8">
        <v>45181</v>
      </c>
      <c r="D207" s="11">
        <v>7</v>
      </c>
      <c r="E207" s="12" t="s">
        <v>15</v>
      </c>
      <c r="F207" s="6">
        <v>45161</v>
      </c>
      <c r="G207" s="9" t="s">
        <v>36</v>
      </c>
      <c r="H207" s="9">
        <f t="shared" si="7"/>
        <v>20</v>
      </c>
      <c r="I207" s="9" t="s">
        <v>18</v>
      </c>
      <c r="J207" s="9" t="s">
        <v>36</v>
      </c>
      <c r="K207" s="22">
        <v>45.706000000000003</v>
      </c>
      <c r="L207" s="22">
        <v>2.3959999999999999</v>
      </c>
      <c r="M207" s="22">
        <v>2.0179999999999998</v>
      </c>
      <c r="N207" t="s">
        <v>14</v>
      </c>
    </row>
    <row r="208" spans="1:15" ht="16" x14ac:dyDescent="0.4">
      <c r="A208">
        <v>69</v>
      </c>
      <c r="B208" t="str">
        <f t="shared" si="6"/>
        <v>2023-09-12_0008</v>
      </c>
      <c r="C208" s="8">
        <v>45181</v>
      </c>
      <c r="D208" s="11">
        <v>8</v>
      </c>
      <c r="E208" s="12" t="s">
        <v>15</v>
      </c>
      <c r="F208" s="6">
        <v>45154</v>
      </c>
      <c r="G208" s="9" t="s">
        <v>36</v>
      </c>
      <c r="H208" s="9">
        <f t="shared" si="7"/>
        <v>27</v>
      </c>
      <c r="I208" s="9" t="s">
        <v>18</v>
      </c>
      <c r="J208" s="9" t="s">
        <v>36</v>
      </c>
      <c r="K208" s="22">
        <v>47.152000000000001</v>
      </c>
      <c r="L208" s="22">
        <v>2.3029999999999999</v>
      </c>
      <c r="M208" s="22">
        <v>1.8660000000000001</v>
      </c>
      <c r="N208" t="s">
        <v>14</v>
      </c>
    </row>
    <row r="209" spans="1:15" ht="16" x14ac:dyDescent="0.4">
      <c r="A209">
        <v>69</v>
      </c>
      <c r="B209" t="str">
        <f t="shared" si="6"/>
        <v>2023-09-12_0009</v>
      </c>
      <c r="C209" s="8">
        <v>45181</v>
      </c>
      <c r="D209" s="11">
        <v>9</v>
      </c>
      <c r="E209" s="12" t="s">
        <v>15</v>
      </c>
      <c r="F209" s="6">
        <v>45150</v>
      </c>
      <c r="G209" s="9" t="s">
        <v>36</v>
      </c>
      <c r="H209" s="9">
        <f t="shared" si="7"/>
        <v>31</v>
      </c>
      <c r="I209" s="9" t="s">
        <v>38</v>
      </c>
      <c r="J209" s="9" t="s">
        <v>36</v>
      </c>
      <c r="K209" s="22">
        <v>44.207999999999998</v>
      </c>
      <c r="L209" s="22">
        <v>2.2519999999999998</v>
      </c>
      <c r="M209" s="22">
        <v>1.782</v>
      </c>
      <c r="N209" t="s">
        <v>14</v>
      </c>
    </row>
    <row r="210" spans="1:15" ht="16" x14ac:dyDescent="0.4">
      <c r="A210">
        <v>69</v>
      </c>
      <c r="B210" t="str">
        <f t="shared" si="6"/>
        <v>2023-09-12_0010</v>
      </c>
      <c r="C210" s="8">
        <v>45181</v>
      </c>
      <c r="D210" s="11">
        <v>10</v>
      </c>
      <c r="E210" s="12" t="s">
        <v>11</v>
      </c>
      <c r="F210" s="6">
        <v>45147</v>
      </c>
      <c r="G210" s="9" t="s">
        <v>36</v>
      </c>
      <c r="H210" s="9">
        <f t="shared" si="7"/>
        <v>34</v>
      </c>
      <c r="I210" s="9" t="s">
        <v>18</v>
      </c>
      <c r="J210" s="9" t="s">
        <v>36</v>
      </c>
      <c r="K210" s="19" t="s">
        <v>21</v>
      </c>
      <c r="L210" s="22">
        <v>2.4430000000000001</v>
      </c>
      <c r="M210" s="22">
        <v>1.9550000000000001</v>
      </c>
      <c r="N210" t="s">
        <v>16</v>
      </c>
      <c r="O210" t="s">
        <v>48</v>
      </c>
    </row>
    <row r="211" spans="1:15" ht="16" x14ac:dyDescent="0.4">
      <c r="A211">
        <v>67</v>
      </c>
      <c r="B211" t="str">
        <f t="shared" si="6"/>
        <v>2023-09-11_0001</v>
      </c>
      <c r="C211" s="8">
        <v>45180</v>
      </c>
      <c r="D211" s="11">
        <v>1</v>
      </c>
      <c r="E211" s="12" t="s">
        <v>11</v>
      </c>
      <c r="F211" s="6">
        <v>45141</v>
      </c>
      <c r="G211" s="9" t="s">
        <v>36</v>
      </c>
      <c r="H211" s="9">
        <f t="shared" si="7"/>
        <v>39</v>
      </c>
      <c r="I211" s="9" t="s">
        <v>18</v>
      </c>
      <c r="J211" s="9" t="s">
        <v>36</v>
      </c>
      <c r="K211" s="19">
        <v>48.106000000000002</v>
      </c>
      <c r="L211" s="22">
        <v>2.7240000000000002</v>
      </c>
      <c r="M211" s="22">
        <v>2.0739999999999998</v>
      </c>
      <c r="N211" t="s">
        <v>14</v>
      </c>
      <c r="O211" t="s">
        <v>42</v>
      </c>
    </row>
    <row r="212" spans="1:15" ht="16" x14ac:dyDescent="0.4">
      <c r="A212">
        <v>67</v>
      </c>
      <c r="B212" t="str">
        <f t="shared" si="6"/>
        <v>2023-09-11_0002</v>
      </c>
      <c r="C212" s="8">
        <v>45180</v>
      </c>
      <c r="D212" s="11">
        <v>2</v>
      </c>
      <c r="E212" s="12" t="s">
        <v>11</v>
      </c>
      <c r="F212" s="6">
        <v>45152</v>
      </c>
      <c r="G212" s="9" t="s">
        <v>36</v>
      </c>
      <c r="H212" s="9">
        <f t="shared" si="7"/>
        <v>28</v>
      </c>
      <c r="I212" s="9" t="s">
        <v>12</v>
      </c>
      <c r="J212" s="9" t="s">
        <v>36</v>
      </c>
      <c r="K212" s="19">
        <v>47.276000000000003</v>
      </c>
      <c r="L212" s="22">
        <v>2.2999999999999998</v>
      </c>
      <c r="M212" s="22">
        <v>1.994</v>
      </c>
      <c r="N212" t="s">
        <v>14</v>
      </c>
    </row>
    <row r="213" spans="1:15" ht="16" x14ac:dyDescent="0.4">
      <c r="A213">
        <v>67</v>
      </c>
      <c r="B213" t="str">
        <f t="shared" si="6"/>
        <v>2023-09-11_0003</v>
      </c>
      <c r="C213" s="8">
        <v>45180</v>
      </c>
      <c r="D213" s="11">
        <v>3</v>
      </c>
      <c r="E213" s="12" t="s">
        <v>15</v>
      </c>
      <c r="F213" s="6">
        <v>45150</v>
      </c>
      <c r="G213" s="9" t="s">
        <v>36</v>
      </c>
      <c r="H213" s="9">
        <f t="shared" si="7"/>
        <v>30</v>
      </c>
      <c r="I213" s="9" t="s">
        <v>38</v>
      </c>
      <c r="J213" s="9" t="s">
        <v>36</v>
      </c>
      <c r="K213" s="19">
        <v>51.064</v>
      </c>
      <c r="L213" s="22">
        <v>2.4449999999999998</v>
      </c>
      <c r="M213" s="22">
        <v>1.9930000000000001</v>
      </c>
      <c r="N213" t="s">
        <v>14</v>
      </c>
      <c r="O213" t="s">
        <v>42</v>
      </c>
    </row>
    <row r="214" spans="1:15" ht="16" x14ac:dyDescent="0.4">
      <c r="A214">
        <v>68</v>
      </c>
      <c r="B214" t="str">
        <f t="shared" si="6"/>
        <v>2023-09-11_0004</v>
      </c>
      <c r="C214" s="8">
        <v>45180</v>
      </c>
      <c r="D214" s="11">
        <v>4</v>
      </c>
      <c r="E214" s="12" t="s">
        <v>15</v>
      </c>
      <c r="F214" s="6">
        <v>45157</v>
      </c>
      <c r="G214" s="9" t="s">
        <v>36</v>
      </c>
      <c r="H214" s="9">
        <f t="shared" si="7"/>
        <v>23</v>
      </c>
      <c r="I214" s="9" t="s">
        <v>38</v>
      </c>
      <c r="J214" s="9" t="s">
        <v>36</v>
      </c>
      <c r="K214" s="19">
        <v>49.701000000000001</v>
      </c>
      <c r="L214" s="22">
        <v>2.468</v>
      </c>
      <c r="M214" s="22">
        <v>1.9750000000000001</v>
      </c>
      <c r="N214" t="s">
        <v>14</v>
      </c>
    </row>
    <row r="215" spans="1:15" ht="16" x14ac:dyDescent="0.4">
      <c r="A215">
        <v>68</v>
      </c>
      <c r="B215" t="str">
        <f t="shared" si="6"/>
        <v>2023-09-11_0005</v>
      </c>
      <c r="C215" s="8">
        <v>45180</v>
      </c>
      <c r="D215" s="11">
        <v>5</v>
      </c>
      <c r="E215" s="12" t="s">
        <v>15</v>
      </c>
      <c r="F215" s="6">
        <v>45156</v>
      </c>
      <c r="G215" s="9" t="s">
        <v>36</v>
      </c>
      <c r="H215" s="9">
        <f t="shared" si="7"/>
        <v>24</v>
      </c>
      <c r="I215" s="9" t="s">
        <v>38</v>
      </c>
      <c r="J215" s="9" t="s">
        <v>36</v>
      </c>
      <c r="K215" s="19">
        <v>51.04</v>
      </c>
      <c r="L215" s="22">
        <v>2.4260000000000002</v>
      </c>
      <c r="M215" s="22">
        <v>2.0099999999999998</v>
      </c>
      <c r="N215" t="s">
        <v>14</v>
      </c>
    </row>
    <row r="216" spans="1:15" ht="16" x14ac:dyDescent="0.4">
      <c r="A216">
        <v>68</v>
      </c>
      <c r="B216" t="str">
        <f t="shared" si="6"/>
        <v>2023-09-11_0006</v>
      </c>
      <c r="C216" s="8">
        <v>45180</v>
      </c>
      <c r="D216" s="11">
        <v>6</v>
      </c>
      <c r="E216" s="12" t="s">
        <v>11</v>
      </c>
      <c r="F216" s="6">
        <v>45123</v>
      </c>
      <c r="G216" s="9" t="s">
        <v>36</v>
      </c>
      <c r="H216" s="9">
        <f t="shared" si="7"/>
        <v>57</v>
      </c>
      <c r="I216" s="9" t="s">
        <v>37</v>
      </c>
      <c r="J216" s="9" t="s">
        <v>36</v>
      </c>
      <c r="K216" s="19">
        <v>46.581000000000003</v>
      </c>
      <c r="L216" s="22">
        <v>2.4169999999999998</v>
      </c>
      <c r="M216" s="22">
        <v>1.911</v>
      </c>
      <c r="N216" t="s">
        <v>14</v>
      </c>
    </row>
    <row r="217" spans="1:15" ht="16" x14ac:dyDescent="0.4">
      <c r="A217">
        <v>68</v>
      </c>
      <c r="B217" t="str">
        <f t="shared" si="6"/>
        <v>2023-09-11_0007</v>
      </c>
      <c r="C217" s="8">
        <v>45180</v>
      </c>
      <c r="D217" s="11">
        <v>7</v>
      </c>
      <c r="E217" s="12" t="s">
        <v>11</v>
      </c>
      <c r="F217" s="6">
        <v>45156</v>
      </c>
      <c r="G217" s="9" t="s">
        <v>36</v>
      </c>
      <c r="H217" s="9">
        <f t="shared" si="7"/>
        <v>24</v>
      </c>
      <c r="I217" s="9" t="s">
        <v>18</v>
      </c>
      <c r="J217" s="9" t="s">
        <v>36</v>
      </c>
      <c r="K217" s="19">
        <v>51.03</v>
      </c>
      <c r="L217" s="22">
        <v>2.5590000000000002</v>
      </c>
      <c r="M217" s="22">
        <v>2.1240000000000001</v>
      </c>
      <c r="N217" t="s">
        <v>14</v>
      </c>
    </row>
    <row r="218" spans="1:15" ht="16" x14ac:dyDescent="0.4">
      <c r="A218">
        <v>68</v>
      </c>
      <c r="B218" t="str">
        <f t="shared" si="6"/>
        <v>2023-09-11_0008</v>
      </c>
      <c r="C218" s="8">
        <v>45180</v>
      </c>
      <c r="D218" s="11">
        <v>8</v>
      </c>
      <c r="E218" s="12" t="s">
        <v>15</v>
      </c>
      <c r="F218" s="6">
        <v>45145</v>
      </c>
      <c r="G218" s="9" t="s">
        <v>36</v>
      </c>
      <c r="H218" s="9">
        <f t="shared" si="7"/>
        <v>35</v>
      </c>
      <c r="I218" s="9" t="s">
        <v>12</v>
      </c>
      <c r="J218" s="9" t="s">
        <v>36</v>
      </c>
      <c r="K218" s="22">
        <v>51.512</v>
      </c>
      <c r="L218" s="22">
        <v>2.5619999999999998</v>
      </c>
      <c r="M218" s="22">
        <v>1.94</v>
      </c>
      <c r="N218" t="s">
        <v>14</v>
      </c>
    </row>
    <row r="219" spans="1:15" ht="16" x14ac:dyDescent="0.4">
      <c r="A219">
        <v>68</v>
      </c>
      <c r="B219" t="str">
        <f t="shared" si="6"/>
        <v>2023-09-11_0009</v>
      </c>
      <c r="C219" s="8">
        <v>45180</v>
      </c>
      <c r="D219" s="11">
        <v>9</v>
      </c>
      <c r="E219" s="12" t="s">
        <v>15</v>
      </c>
      <c r="F219" s="6">
        <v>45150</v>
      </c>
      <c r="G219" s="9" t="s">
        <v>36</v>
      </c>
      <c r="H219" s="9">
        <f t="shared" si="7"/>
        <v>30</v>
      </c>
      <c r="I219" s="9" t="s">
        <v>38</v>
      </c>
      <c r="J219" s="9" t="s">
        <v>36</v>
      </c>
      <c r="K219" s="22">
        <v>45.6</v>
      </c>
      <c r="L219" s="22">
        <v>2.2709999999999999</v>
      </c>
      <c r="M219" s="22">
        <v>1.905</v>
      </c>
      <c r="N219" t="s">
        <v>14</v>
      </c>
    </row>
    <row r="220" spans="1:15" ht="16" x14ac:dyDescent="0.4">
      <c r="A220">
        <v>68</v>
      </c>
      <c r="B220" t="str">
        <f t="shared" si="6"/>
        <v>2023-09-11_0010</v>
      </c>
      <c r="C220" s="8">
        <v>45180</v>
      </c>
      <c r="D220" s="11">
        <v>10</v>
      </c>
      <c r="E220" s="12" t="s">
        <v>15</v>
      </c>
      <c r="F220" s="6">
        <v>45147</v>
      </c>
      <c r="G220" s="9" t="s">
        <v>36</v>
      </c>
      <c r="H220" s="9">
        <f t="shared" si="7"/>
        <v>33</v>
      </c>
      <c r="I220" s="9" t="s">
        <v>38</v>
      </c>
      <c r="J220" s="9" t="s">
        <v>36</v>
      </c>
      <c r="K220" s="22">
        <v>49.667999999999999</v>
      </c>
      <c r="L220" s="22">
        <v>2.4279999999999999</v>
      </c>
      <c r="M220" s="22">
        <v>2.0110000000000001</v>
      </c>
      <c r="N220" t="s">
        <v>14</v>
      </c>
    </row>
    <row r="221" spans="1:15" ht="16" x14ac:dyDescent="0.4">
      <c r="A221">
        <v>68</v>
      </c>
      <c r="B221" t="str">
        <f t="shared" si="6"/>
        <v>2023-09-11_0011</v>
      </c>
      <c r="C221" s="8">
        <v>45180</v>
      </c>
      <c r="D221" s="11">
        <v>11</v>
      </c>
      <c r="E221" s="12" t="s">
        <v>15</v>
      </c>
      <c r="F221" s="6">
        <v>45152</v>
      </c>
      <c r="G221" s="9" t="s">
        <v>36</v>
      </c>
      <c r="H221" s="9">
        <f t="shared" si="7"/>
        <v>28</v>
      </c>
      <c r="I221" s="9" t="s">
        <v>12</v>
      </c>
      <c r="J221" s="9" t="s">
        <v>36</v>
      </c>
      <c r="K221" s="22">
        <v>48.737000000000002</v>
      </c>
      <c r="L221" s="22">
        <v>2.2349999999999999</v>
      </c>
      <c r="M221" s="22">
        <v>1.909</v>
      </c>
      <c r="N221" t="s">
        <v>14</v>
      </c>
    </row>
    <row r="222" spans="1:15" ht="16" x14ac:dyDescent="0.4">
      <c r="A222">
        <v>68</v>
      </c>
      <c r="B222" t="str">
        <f t="shared" si="6"/>
        <v>2023-09-11_0012</v>
      </c>
      <c r="C222" s="8">
        <v>45180</v>
      </c>
      <c r="D222" s="11">
        <v>12</v>
      </c>
      <c r="E222" s="12" t="s">
        <v>11</v>
      </c>
      <c r="F222" s="6">
        <v>45154</v>
      </c>
      <c r="G222" s="9" t="s">
        <v>36</v>
      </c>
      <c r="H222" s="9">
        <f t="shared" si="7"/>
        <v>26</v>
      </c>
      <c r="I222" s="9" t="s">
        <v>12</v>
      </c>
      <c r="J222" s="9" t="s">
        <v>39</v>
      </c>
      <c r="K222" s="22">
        <v>46.787999999999997</v>
      </c>
      <c r="L222" s="22">
        <v>2.4750000000000001</v>
      </c>
      <c r="M222" s="22">
        <v>2.0609999999999999</v>
      </c>
      <c r="N222" t="s">
        <v>14</v>
      </c>
      <c r="O222" t="s">
        <v>41</v>
      </c>
    </row>
    <row r="223" spans="1:15" ht="16" x14ac:dyDescent="0.4">
      <c r="A223">
        <v>68</v>
      </c>
      <c r="B223" t="str">
        <f t="shared" si="6"/>
        <v>2023-09-11_0013</v>
      </c>
      <c r="C223" s="8">
        <v>45180</v>
      </c>
      <c r="D223" s="11">
        <v>13</v>
      </c>
      <c r="E223" s="12" t="s">
        <v>15</v>
      </c>
      <c r="F223" s="6">
        <v>45156</v>
      </c>
      <c r="G223" s="9" t="s">
        <v>36</v>
      </c>
      <c r="H223" s="9">
        <f t="shared" si="7"/>
        <v>24</v>
      </c>
      <c r="I223" s="9" t="s">
        <v>38</v>
      </c>
      <c r="J223" s="9" t="s">
        <v>36</v>
      </c>
      <c r="K223" s="22">
        <v>49.728000000000002</v>
      </c>
      <c r="L223" s="22">
        <v>2.4</v>
      </c>
      <c r="M223" s="22">
        <v>1.925</v>
      </c>
      <c r="N223" t="s">
        <v>14</v>
      </c>
    </row>
    <row r="224" spans="1:15" ht="16" x14ac:dyDescent="0.4">
      <c r="A224">
        <v>68</v>
      </c>
      <c r="B224" t="str">
        <f t="shared" si="6"/>
        <v>2023-09-11_0014</v>
      </c>
      <c r="C224" s="8">
        <v>45180</v>
      </c>
      <c r="D224" s="11">
        <v>14</v>
      </c>
      <c r="E224" s="12" t="s">
        <v>11</v>
      </c>
      <c r="F224" s="6">
        <v>45161</v>
      </c>
      <c r="G224" s="9" t="s">
        <v>36</v>
      </c>
      <c r="H224" s="9">
        <f t="shared" si="7"/>
        <v>19</v>
      </c>
      <c r="I224" s="9" t="s">
        <v>37</v>
      </c>
      <c r="J224" s="9" t="s">
        <v>36</v>
      </c>
      <c r="K224" s="22">
        <v>46.860999999999997</v>
      </c>
      <c r="L224" s="22">
        <v>2.4239999999999999</v>
      </c>
      <c r="M224" s="22">
        <v>2.044</v>
      </c>
      <c r="N224" t="s">
        <v>14</v>
      </c>
    </row>
    <row r="225" spans="1:15" ht="16" x14ac:dyDescent="0.4">
      <c r="A225">
        <v>68</v>
      </c>
      <c r="B225" t="str">
        <f t="shared" si="6"/>
        <v>2023-09-11_0015</v>
      </c>
      <c r="C225" s="8">
        <v>45180</v>
      </c>
      <c r="D225" s="11">
        <v>15</v>
      </c>
      <c r="E225" s="12" t="s">
        <v>15</v>
      </c>
      <c r="F225" s="6">
        <v>45150</v>
      </c>
      <c r="G225" s="9" t="s">
        <v>36</v>
      </c>
      <c r="H225" s="9">
        <f t="shared" si="7"/>
        <v>30</v>
      </c>
      <c r="I225" s="9" t="s">
        <v>37</v>
      </c>
      <c r="J225" s="9" t="s">
        <v>36</v>
      </c>
      <c r="K225" s="22">
        <v>46.631</v>
      </c>
      <c r="L225" s="22">
        <v>2.3250000000000002</v>
      </c>
      <c r="M225" s="22">
        <v>2.0070000000000001</v>
      </c>
      <c r="N225" t="s">
        <v>14</v>
      </c>
    </row>
    <row r="226" spans="1:15" ht="16" x14ac:dyDescent="0.4">
      <c r="A226">
        <v>68</v>
      </c>
      <c r="B226" t="str">
        <f t="shared" si="6"/>
        <v>2023-09-11_0016</v>
      </c>
      <c r="C226" s="8">
        <v>45180</v>
      </c>
      <c r="D226" s="11">
        <v>16</v>
      </c>
      <c r="E226" s="12" t="s">
        <v>11</v>
      </c>
      <c r="F226" s="6">
        <v>45159</v>
      </c>
      <c r="G226" s="9" t="s">
        <v>36</v>
      </c>
      <c r="H226" s="9">
        <f t="shared" si="7"/>
        <v>21</v>
      </c>
      <c r="I226" s="9" t="s">
        <v>12</v>
      </c>
      <c r="J226" s="9" t="s">
        <v>36</v>
      </c>
      <c r="K226" s="22">
        <v>49.719000000000001</v>
      </c>
      <c r="L226" s="22">
        <v>2.649</v>
      </c>
      <c r="M226" s="22">
        <v>2.1150000000000002</v>
      </c>
      <c r="N226" t="s">
        <v>14</v>
      </c>
    </row>
    <row r="227" spans="1:15" ht="16" x14ac:dyDescent="0.4">
      <c r="A227">
        <v>68</v>
      </c>
      <c r="B227" t="str">
        <f t="shared" si="6"/>
        <v>2023-09-11_0017</v>
      </c>
      <c r="C227" s="8">
        <v>45180</v>
      </c>
      <c r="D227" s="11">
        <v>17</v>
      </c>
      <c r="E227" s="12" t="s">
        <v>15</v>
      </c>
      <c r="F227" s="6">
        <v>45152</v>
      </c>
      <c r="G227" s="9" t="s">
        <v>36</v>
      </c>
      <c r="H227" s="9">
        <f t="shared" si="7"/>
        <v>28</v>
      </c>
      <c r="I227" s="9" t="s">
        <v>12</v>
      </c>
      <c r="J227" s="9" t="s">
        <v>36</v>
      </c>
      <c r="K227" s="22">
        <v>48.524999999999999</v>
      </c>
      <c r="L227" s="22">
        <v>2.2000000000000002</v>
      </c>
      <c r="M227" s="22">
        <v>1.9079999999999999</v>
      </c>
      <c r="N227" t="s">
        <v>14</v>
      </c>
    </row>
    <row r="228" spans="1:15" ht="16" x14ac:dyDescent="0.4">
      <c r="A228">
        <v>68</v>
      </c>
      <c r="B228" t="str">
        <f t="shared" si="6"/>
        <v>2023-09-11_0018</v>
      </c>
      <c r="C228" s="8">
        <v>45180</v>
      </c>
      <c r="D228" s="11">
        <v>18</v>
      </c>
      <c r="E228" s="12" t="s">
        <v>15</v>
      </c>
      <c r="F228" s="6">
        <v>45156</v>
      </c>
      <c r="G228" s="9" t="s">
        <v>36</v>
      </c>
      <c r="H228" s="9">
        <f t="shared" si="7"/>
        <v>24</v>
      </c>
      <c r="I228" s="9" t="s">
        <v>38</v>
      </c>
      <c r="J228" s="9" t="s">
        <v>36</v>
      </c>
      <c r="K228" s="22">
        <v>41.518999999999998</v>
      </c>
      <c r="L228" s="22">
        <v>2.2589999999999999</v>
      </c>
      <c r="M228" s="22">
        <v>1.897</v>
      </c>
      <c r="N228" t="s">
        <v>14</v>
      </c>
      <c r="O228" t="s">
        <v>42</v>
      </c>
    </row>
    <row r="229" spans="1:15" ht="16" x14ac:dyDescent="0.4">
      <c r="A229">
        <v>68</v>
      </c>
      <c r="B229" t="str">
        <f t="shared" si="6"/>
        <v>2023-09-11_0019</v>
      </c>
      <c r="C229" s="8">
        <v>45180</v>
      </c>
      <c r="D229" s="11">
        <v>19</v>
      </c>
      <c r="E229" s="12" t="s">
        <v>11</v>
      </c>
      <c r="F229" s="6">
        <v>45157</v>
      </c>
      <c r="G229" s="9" t="s">
        <v>36</v>
      </c>
      <c r="H229" s="9">
        <f t="shared" si="7"/>
        <v>23</v>
      </c>
      <c r="I229" s="9" t="s">
        <v>12</v>
      </c>
      <c r="J229" s="9" t="s">
        <v>36</v>
      </c>
      <c r="K229" s="22">
        <v>45.046999999999997</v>
      </c>
      <c r="L229" s="22">
        <v>2.5760000000000001</v>
      </c>
      <c r="M229" s="22">
        <v>1.8939999999999999</v>
      </c>
      <c r="N229" t="s">
        <v>14</v>
      </c>
      <c r="O229" t="s">
        <v>42</v>
      </c>
    </row>
    <row r="230" spans="1:15" ht="16" x14ac:dyDescent="0.4">
      <c r="A230">
        <v>68</v>
      </c>
      <c r="B230" t="str">
        <f t="shared" si="6"/>
        <v>2023-09-11_0020</v>
      </c>
      <c r="C230" s="8">
        <v>45180</v>
      </c>
      <c r="D230" s="11">
        <v>20</v>
      </c>
      <c r="E230" s="12" t="s">
        <v>15</v>
      </c>
      <c r="F230" s="6">
        <v>45162</v>
      </c>
      <c r="G230" s="9" t="s">
        <v>36</v>
      </c>
      <c r="H230" s="9">
        <f t="shared" si="7"/>
        <v>18</v>
      </c>
      <c r="I230" s="9" t="s">
        <v>18</v>
      </c>
      <c r="J230" s="9" t="s">
        <v>36</v>
      </c>
      <c r="K230" s="22">
        <v>50.546999999999997</v>
      </c>
      <c r="L230" s="22">
        <v>2.516</v>
      </c>
      <c r="M230" s="22">
        <v>2.016</v>
      </c>
      <c r="N230" t="s">
        <v>14</v>
      </c>
      <c r="O230" t="s">
        <v>42</v>
      </c>
    </row>
    <row r="231" spans="1:15" ht="16" x14ac:dyDescent="0.4">
      <c r="A231">
        <v>68</v>
      </c>
      <c r="B231" t="str">
        <f t="shared" si="6"/>
        <v>2023-09-11_0021</v>
      </c>
      <c r="C231" s="8">
        <v>45180</v>
      </c>
      <c r="D231" s="11">
        <v>21</v>
      </c>
      <c r="E231" s="12" t="s">
        <v>15</v>
      </c>
      <c r="F231" s="6">
        <v>45147</v>
      </c>
      <c r="G231" s="9" t="s">
        <v>36</v>
      </c>
      <c r="H231" s="9">
        <f t="shared" si="7"/>
        <v>33</v>
      </c>
      <c r="I231" s="9" t="s">
        <v>38</v>
      </c>
      <c r="J231" s="9" t="s">
        <v>36</v>
      </c>
      <c r="K231" s="22">
        <v>49.521999999999998</v>
      </c>
      <c r="L231" s="22">
        <v>2.5019999999999998</v>
      </c>
      <c r="M231" s="22">
        <v>2.1219999999999999</v>
      </c>
      <c r="N231" t="s">
        <v>14</v>
      </c>
      <c r="O231" t="s">
        <v>42</v>
      </c>
    </row>
    <row r="232" spans="1:15" ht="16" x14ac:dyDescent="0.4">
      <c r="A232">
        <v>68</v>
      </c>
      <c r="B232" t="str">
        <f t="shared" si="6"/>
        <v>2023-09-11_0022</v>
      </c>
      <c r="C232" s="8">
        <v>45180</v>
      </c>
      <c r="D232" s="11">
        <v>22</v>
      </c>
      <c r="E232" s="12" t="s">
        <v>11</v>
      </c>
      <c r="F232" s="6">
        <v>45158</v>
      </c>
      <c r="G232" s="9" t="s">
        <v>36</v>
      </c>
      <c r="H232" s="9">
        <f t="shared" si="7"/>
        <v>22</v>
      </c>
      <c r="I232" s="9" t="s">
        <v>38</v>
      </c>
      <c r="J232" s="9" t="s">
        <v>36</v>
      </c>
      <c r="K232" s="22">
        <v>44.201999999999998</v>
      </c>
      <c r="L232" s="22">
        <v>2.234</v>
      </c>
      <c r="M232" s="22">
        <v>1.8979999999999999</v>
      </c>
      <c r="N232" t="s">
        <v>14</v>
      </c>
      <c r="O232" t="s">
        <v>42</v>
      </c>
    </row>
    <row r="233" spans="1:15" ht="16" x14ac:dyDescent="0.4">
      <c r="A233">
        <v>68</v>
      </c>
      <c r="B233" t="str">
        <f t="shared" si="6"/>
        <v>2023-09-11_0023</v>
      </c>
      <c r="C233" s="8">
        <v>45180</v>
      </c>
      <c r="D233" s="11">
        <v>23</v>
      </c>
      <c r="E233" s="12" t="s">
        <v>15</v>
      </c>
      <c r="F233" s="6">
        <v>45156</v>
      </c>
      <c r="G233" s="9" t="s">
        <v>36</v>
      </c>
      <c r="H233" s="9">
        <f t="shared" si="7"/>
        <v>24</v>
      </c>
      <c r="I233" s="9" t="s">
        <v>18</v>
      </c>
      <c r="J233" s="9" t="s">
        <v>36</v>
      </c>
      <c r="K233" s="22">
        <v>42.13</v>
      </c>
      <c r="L233" s="22">
        <v>2.1019999999999999</v>
      </c>
      <c r="M233" s="22">
        <v>1.843</v>
      </c>
      <c r="N233" t="s">
        <v>14</v>
      </c>
    </row>
    <row r="234" spans="1:15" ht="16" x14ac:dyDescent="0.4">
      <c r="A234">
        <v>68</v>
      </c>
      <c r="B234" t="str">
        <f t="shared" si="6"/>
        <v>2023-09-11_0024</v>
      </c>
      <c r="C234" s="8">
        <v>45180</v>
      </c>
      <c r="D234" s="11">
        <v>24</v>
      </c>
      <c r="E234" s="12" t="s">
        <v>11</v>
      </c>
      <c r="F234" s="6">
        <v>45147</v>
      </c>
      <c r="G234" s="9" t="s">
        <v>36</v>
      </c>
      <c r="H234" s="9">
        <f t="shared" si="7"/>
        <v>33</v>
      </c>
      <c r="I234" s="9" t="s">
        <v>38</v>
      </c>
      <c r="J234" s="9" t="s">
        <v>36</v>
      </c>
      <c r="K234" s="19" t="s">
        <v>21</v>
      </c>
      <c r="L234" s="22">
        <v>2.609</v>
      </c>
      <c r="M234" s="22">
        <v>2.133</v>
      </c>
      <c r="N234" t="s">
        <v>16</v>
      </c>
      <c r="O234" t="s">
        <v>48</v>
      </c>
    </row>
    <row r="235" spans="1:15" ht="16" x14ac:dyDescent="0.4">
      <c r="A235">
        <v>68</v>
      </c>
      <c r="B235" t="str">
        <f t="shared" si="6"/>
        <v>2023-09-11_0025</v>
      </c>
      <c r="C235" s="8">
        <v>45180</v>
      </c>
      <c r="D235" s="11">
        <v>25</v>
      </c>
      <c r="E235" s="12" t="s">
        <v>11</v>
      </c>
      <c r="F235" s="6">
        <v>45147</v>
      </c>
      <c r="G235" s="9" t="s">
        <v>36</v>
      </c>
      <c r="H235" s="9">
        <f t="shared" si="7"/>
        <v>33</v>
      </c>
      <c r="I235" s="9" t="s">
        <v>38</v>
      </c>
      <c r="J235" s="9" t="s">
        <v>36</v>
      </c>
      <c r="K235" s="22">
        <v>50.347000000000001</v>
      </c>
      <c r="L235" s="22">
        <v>2.4550000000000001</v>
      </c>
      <c r="M235" s="22">
        <v>1.9830000000000001</v>
      </c>
      <c r="N235" t="s">
        <v>14</v>
      </c>
      <c r="O235" t="s">
        <v>42</v>
      </c>
    </row>
    <row r="236" spans="1:15" ht="16" x14ac:dyDescent="0.4">
      <c r="A236">
        <v>68</v>
      </c>
      <c r="B236" t="str">
        <f t="shared" si="6"/>
        <v>2023-09-11_0026</v>
      </c>
      <c r="C236" s="8">
        <v>45180</v>
      </c>
      <c r="D236" s="11">
        <v>26</v>
      </c>
      <c r="E236" s="12" t="s">
        <v>15</v>
      </c>
      <c r="F236" s="6">
        <v>45147</v>
      </c>
      <c r="G236" s="9" t="s">
        <v>36</v>
      </c>
      <c r="H236" s="9">
        <f t="shared" si="7"/>
        <v>33</v>
      </c>
      <c r="I236" s="9" t="s">
        <v>38</v>
      </c>
      <c r="J236" s="9" t="s">
        <v>36</v>
      </c>
      <c r="K236" s="22">
        <v>45.573</v>
      </c>
      <c r="L236" s="22">
        <v>2.3650000000000002</v>
      </c>
      <c r="M236" s="22">
        <v>1.9650000000000001</v>
      </c>
      <c r="N236" t="s">
        <v>16</v>
      </c>
      <c r="O236" t="s">
        <v>48</v>
      </c>
    </row>
    <row r="237" spans="1:15" ht="16" x14ac:dyDescent="0.4">
      <c r="A237">
        <v>68</v>
      </c>
      <c r="B237" t="str">
        <f t="shared" si="6"/>
        <v>2023-09-11_0027</v>
      </c>
      <c r="C237" s="8">
        <v>45180</v>
      </c>
      <c r="D237" s="11">
        <v>27</v>
      </c>
      <c r="E237" s="12" t="s">
        <v>11</v>
      </c>
      <c r="F237" s="6">
        <v>45145</v>
      </c>
      <c r="G237" s="9" t="s">
        <v>36</v>
      </c>
      <c r="H237" s="9">
        <f t="shared" si="7"/>
        <v>35</v>
      </c>
      <c r="I237" s="9" t="s">
        <v>18</v>
      </c>
      <c r="J237" s="9" t="s">
        <v>36</v>
      </c>
      <c r="K237" s="19" t="s">
        <v>21</v>
      </c>
      <c r="L237" s="22">
        <v>2.4809999999999999</v>
      </c>
      <c r="M237" s="22">
        <v>2.109</v>
      </c>
      <c r="N237" t="s">
        <v>16</v>
      </c>
      <c r="O237" t="s">
        <v>48</v>
      </c>
    </row>
    <row r="238" spans="1:15" ht="16" x14ac:dyDescent="0.4">
      <c r="A238">
        <v>68</v>
      </c>
      <c r="B238" t="str">
        <f t="shared" si="6"/>
        <v>2023-09-11_0028</v>
      </c>
      <c r="C238" s="8">
        <v>45180</v>
      </c>
      <c r="D238" s="11">
        <v>28</v>
      </c>
      <c r="E238" s="12" t="s">
        <v>11</v>
      </c>
      <c r="F238" s="6">
        <v>45156</v>
      </c>
      <c r="G238" s="9" t="s">
        <v>36</v>
      </c>
      <c r="H238" s="9">
        <f t="shared" si="7"/>
        <v>24</v>
      </c>
      <c r="I238" s="9" t="s">
        <v>12</v>
      </c>
      <c r="J238" s="9" t="s">
        <v>36</v>
      </c>
      <c r="K238" s="22">
        <v>49.231999999999999</v>
      </c>
      <c r="L238" s="22">
        <v>2.5390000000000001</v>
      </c>
      <c r="M238" s="22">
        <v>1.9790000000000001</v>
      </c>
      <c r="N238" t="s">
        <v>14</v>
      </c>
      <c r="O238" t="s">
        <v>42</v>
      </c>
    </row>
    <row r="239" spans="1:15" ht="16" x14ac:dyDescent="0.4">
      <c r="A239">
        <v>68</v>
      </c>
      <c r="B239" t="str">
        <f t="shared" si="6"/>
        <v>2023-09-11_0029</v>
      </c>
      <c r="C239" s="8">
        <v>45180</v>
      </c>
      <c r="D239" s="11">
        <v>29</v>
      </c>
      <c r="E239" s="12" t="s">
        <v>11</v>
      </c>
      <c r="F239" s="6">
        <v>45141</v>
      </c>
      <c r="G239" s="9" t="s">
        <v>36</v>
      </c>
      <c r="H239" s="9">
        <f t="shared" si="7"/>
        <v>39</v>
      </c>
      <c r="I239" s="9" t="s">
        <v>12</v>
      </c>
      <c r="J239" s="9" t="s">
        <v>36</v>
      </c>
      <c r="K239" s="19" t="s">
        <v>21</v>
      </c>
      <c r="L239" s="22">
        <v>2.7040000000000002</v>
      </c>
      <c r="M239" s="22">
        <v>2.0790000000000002</v>
      </c>
      <c r="N239" t="s">
        <v>16</v>
      </c>
      <c r="O239" t="s">
        <v>48</v>
      </c>
    </row>
    <row r="240" spans="1:15" ht="16" x14ac:dyDescent="0.4">
      <c r="A240">
        <v>68</v>
      </c>
      <c r="B240" t="str">
        <f t="shared" si="6"/>
        <v>2023-09-11_0030</v>
      </c>
      <c r="C240" s="8">
        <v>45180</v>
      </c>
      <c r="D240" s="11">
        <v>30</v>
      </c>
      <c r="E240" s="12" t="s">
        <v>11</v>
      </c>
      <c r="F240" s="6">
        <v>45108</v>
      </c>
      <c r="G240" s="9" t="s">
        <v>36</v>
      </c>
      <c r="H240" s="9">
        <f t="shared" si="7"/>
        <v>72</v>
      </c>
      <c r="I240" s="9" t="s">
        <v>12</v>
      </c>
      <c r="J240" s="9" t="s">
        <v>36</v>
      </c>
      <c r="K240" s="22">
        <v>46.164000000000001</v>
      </c>
      <c r="L240" s="22">
        <v>2.536</v>
      </c>
      <c r="M240" s="22">
        <v>2.0270000000000001</v>
      </c>
      <c r="N240" t="s">
        <v>16</v>
      </c>
      <c r="O240" t="s">
        <v>65</v>
      </c>
    </row>
    <row r="241" spans="1:15" ht="16" x14ac:dyDescent="0.4">
      <c r="A241">
        <v>68</v>
      </c>
      <c r="B241" t="str">
        <f t="shared" si="6"/>
        <v>2023-09-11_0031</v>
      </c>
      <c r="C241" s="8">
        <v>45180</v>
      </c>
      <c r="D241" s="11">
        <v>31</v>
      </c>
      <c r="E241" s="12" t="s">
        <v>11</v>
      </c>
      <c r="F241" s="6">
        <v>45141</v>
      </c>
      <c r="G241" s="9" t="s">
        <v>36</v>
      </c>
      <c r="H241" s="9">
        <f t="shared" si="7"/>
        <v>39</v>
      </c>
      <c r="I241" s="9" t="s">
        <v>18</v>
      </c>
      <c r="J241" s="9" t="s">
        <v>36</v>
      </c>
      <c r="K241" s="19" t="s">
        <v>21</v>
      </c>
      <c r="L241" s="22">
        <v>2.5819999999999999</v>
      </c>
      <c r="M241" s="22">
        <v>2.1440000000000001</v>
      </c>
      <c r="N241" t="s">
        <v>16</v>
      </c>
      <c r="O241" t="s">
        <v>48</v>
      </c>
    </row>
    <row r="242" spans="1:15" ht="16" x14ac:dyDescent="0.4">
      <c r="A242">
        <v>68</v>
      </c>
      <c r="B242" t="str">
        <f t="shared" si="6"/>
        <v>2023-09-11_0032</v>
      </c>
      <c r="C242" s="8">
        <v>45180</v>
      </c>
      <c r="D242" s="11">
        <v>32</v>
      </c>
      <c r="E242" s="12" t="s">
        <v>11</v>
      </c>
      <c r="F242" s="6">
        <v>45150</v>
      </c>
      <c r="G242" s="9" t="s">
        <v>36</v>
      </c>
      <c r="H242" s="9">
        <f t="shared" si="7"/>
        <v>30</v>
      </c>
      <c r="I242" s="9" t="s">
        <v>12</v>
      </c>
      <c r="J242" s="9" t="s">
        <v>36</v>
      </c>
      <c r="K242" s="19" t="s">
        <v>21</v>
      </c>
      <c r="L242" s="22">
        <v>2.5609999999999999</v>
      </c>
      <c r="M242" s="22">
        <v>1.9970000000000001</v>
      </c>
      <c r="N242" t="s">
        <v>16</v>
      </c>
      <c r="O242" t="s">
        <v>48</v>
      </c>
    </row>
    <row r="243" spans="1:15" ht="16" x14ac:dyDescent="0.4">
      <c r="A243">
        <v>66</v>
      </c>
      <c r="B243" t="str">
        <f t="shared" si="6"/>
        <v>2023-09-10_0001</v>
      </c>
      <c r="C243" s="8">
        <v>45179</v>
      </c>
      <c r="D243" s="11">
        <v>1</v>
      </c>
      <c r="E243" s="12" t="s">
        <v>15</v>
      </c>
      <c r="F243" s="6">
        <v>45157</v>
      </c>
      <c r="G243" s="9" t="s">
        <v>36</v>
      </c>
      <c r="H243" s="9">
        <f t="shared" si="7"/>
        <v>22</v>
      </c>
      <c r="I243" s="9" t="s">
        <v>18</v>
      </c>
      <c r="J243" s="9" t="s">
        <v>36</v>
      </c>
      <c r="K243" s="22">
        <v>45.268999999999998</v>
      </c>
      <c r="L243" s="22">
        <v>2.2589999999999999</v>
      </c>
      <c r="M243" s="22">
        <v>1.8819999999999999</v>
      </c>
      <c r="N243" t="s">
        <v>14</v>
      </c>
    </row>
    <row r="244" spans="1:15" ht="16" x14ac:dyDescent="0.4">
      <c r="A244">
        <v>66</v>
      </c>
      <c r="B244" t="str">
        <f t="shared" si="6"/>
        <v>2023-09-10_0002</v>
      </c>
      <c r="C244" s="8">
        <v>45179</v>
      </c>
      <c r="D244" s="11">
        <v>2</v>
      </c>
      <c r="E244" s="12" t="s">
        <v>15</v>
      </c>
      <c r="F244" s="6">
        <v>45147</v>
      </c>
      <c r="G244" s="9" t="s">
        <v>36</v>
      </c>
      <c r="H244" s="9">
        <f t="shared" si="7"/>
        <v>32</v>
      </c>
      <c r="I244" s="9" t="s">
        <v>37</v>
      </c>
      <c r="J244" s="9" t="s">
        <v>36</v>
      </c>
      <c r="K244" s="22">
        <v>46.764000000000003</v>
      </c>
      <c r="L244" s="22">
        <v>2.2770000000000001</v>
      </c>
      <c r="M244" s="22">
        <v>1.855</v>
      </c>
      <c r="N244" t="s">
        <v>14</v>
      </c>
    </row>
    <row r="245" spans="1:15" ht="16" x14ac:dyDescent="0.4">
      <c r="A245">
        <v>66</v>
      </c>
      <c r="B245" t="str">
        <f t="shared" si="6"/>
        <v>2023-09-10_0003</v>
      </c>
      <c r="C245" s="8">
        <v>45179</v>
      </c>
      <c r="D245" s="11">
        <v>3</v>
      </c>
      <c r="E245" s="12" t="s">
        <v>15</v>
      </c>
      <c r="F245" s="6">
        <v>45147</v>
      </c>
      <c r="G245" s="9" t="s">
        <v>36</v>
      </c>
      <c r="H245" s="9">
        <f t="shared" si="7"/>
        <v>32</v>
      </c>
      <c r="I245" s="9" t="s">
        <v>37</v>
      </c>
      <c r="J245" s="9" t="s">
        <v>36</v>
      </c>
      <c r="K245" s="22">
        <v>50.546999999999997</v>
      </c>
      <c r="L245" s="22">
        <v>2.4460000000000002</v>
      </c>
      <c r="M245" s="22">
        <v>1.929</v>
      </c>
      <c r="N245" t="s">
        <v>14</v>
      </c>
    </row>
    <row r="246" spans="1:15" ht="16" x14ac:dyDescent="0.4">
      <c r="A246">
        <v>66</v>
      </c>
      <c r="B246" t="str">
        <f t="shared" si="6"/>
        <v>2023-09-10_0004</v>
      </c>
      <c r="C246" s="8">
        <v>45179</v>
      </c>
      <c r="D246" s="11">
        <v>4</v>
      </c>
      <c r="E246" s="12" t="s">
        <v>15</v>
      </c>
      <c r="F246" s="6">
        <v>45154</v>
      </c>
      <c r="G246" s="9" t="s">
        <v>36</v>
      </c>
      <c r="H246" s="9">
        <f t="shared" si="7"/>
        <v>25</v>
      </c>
      <c r="I246" s="9" t="s">
        <v>37</v>
      </c>
      <c r="J246" s="9" t="s">
        <v>36</v>
      </c>
      <c r="K246" s="22">
        <v>46.167000000000002</v>
      </c>
      <c r="L246" s="22">
        <v>2.3759999999999999</v>
      </c>
      <c r="M246" s="22">
        <v>1.948</v>
      </c>
      <c r="N246" t="s">
        <v>14</v>
      </c>
    </row>
    <row r="247" spans="1:15" ht="16" x14ac:dyDescent="0.4">
      <c r="A247">
        <v>66</v>
      </c>
      <c r="B247" t="str">
        <f t="shared" si="6"/>
        <v>2023-09-10_0005</v>
      </c>
      <c r="C247" s="8">
        <v>45179</v>
      </c>
      <c r="D247" s="11">
        <v>5</v>
      </c>
      <c r="E247" s="12" t="s">
        <v>11</v>
      </c>
      <c r="F247" s="6">
        <v>45143</v>
      </c>
      <c r="G247" s="9" t="s">
        <v>36</v>
      </c>
      <c r="H247" s="9">
        <f t="shared" si="7"/>
        <v>36</v>
      </c>
      <c r="I247" s="9" t="s">
        <v>18</v>
      </c>
      <c r="J247" s="9" t="s">
        <v>36</v>
      </c>
      <c r="K247" s="22">
        <v>51.576000000000001</v>
      </c>
      <c r="L247" s="22">
        <v>2.5489999999999999</v>
      </c>
      <c r="M247" s="22">
        <v>2.0459999999999998</v>
      </c>
      <c r="N247" t="s">
        <v>14</v>
      </c>
    </row>
    <row r="248" spans="1:15" ht="16" x14ac:dyDescent="0.4">
      <c r="A248">
        <v>66</v>
      </c>
      <c r="B248" t="str">
        <f t="shared" si="6"/>
        <v>2023-09-10_0006</v>
      </c>
      <c r="C248" s="8">
        <v>45179</v>
      </c>
      <c r="D248" s="11">
        <v>6</v>
      </c>
      <c r="E248" s="12" t="s">
        <v>15</v>
      </c>
      <c r="F248" s="6">
        <v>45174</v>
      </c>
      <c r="G248" s="9" t="s">
        <v>39</v>
      </c>
      <c r="H248" s="9">
        <f t="shared" si="7"/>
        <v>5</v>
      </c>
      <c r="I248" s="9" t="s">
        <v>18</v>
      </c>
      <c r="J248" s="9" t="s">
        <v>36</v>
      </c>
      <c r="K248" s="22">
        <v>43.581000000000003</v>
      </c>
      <c r="L248" s="22">
        <v>2.2370000000000001</v>
      </c>
      <c r="M248" s="22">
        <v>1.8839999999999999</v>
      </c>
      <c r="N248" t="s">
        <v>14</v>
      </c>
      <c r="O248" t="s">
        <v>40</v>
      </c>
    </row>
    <row r="249" spans="1:15" ht="16" x14ac:dyDescent="0.4">
      <c r="A249">
        <v>66</v>
      </c>
      <c r="B249" t="str">
        <f t="shared" si="6"/>
        <v>2023-09-10_0007</v>
      </c>
      <c r="C249" s="8">
        <v>45179</v>
      </c>
      <c r="D249" s="11">
        <v>7</v>
      </c>
      <c r="E249" s="12" t="s">
        <v>15</v>
      </c>
      <c r="F249" s="6">
        <v>45154</v>
      </c>
      <c r="G249" s="9" t="s">
        <v>36</v>
      </c>
      <c r="H249" s="9">
        <f t="shared" si="7"/>
        <v>25</v>
      </c>
      <c r="I249" s="9" t="s">
        <v>18</v>
      </c>
      <c r="J249" s="9" t="s">
        <v>36</v>
      </c>
      <c r="K249" s="22">
        <v>45.487000000000002</v>
      </c>
      <c r="L249" s="22">
        <v>2.2280000000000002</v>
      </c>
      <c r="M249" s="22">
        <v>1.8939999999999999</v>
      </c>
      <c r="N249" t="s">
        <v>14</v>
      </c>
    </row>
    <row r="250" spans="1:15" ht="16" x14ac:dyDescent="0.4">
      <c r="A250">
        <v>66</v>
      </c>
      <c r="B250" t="str">
        <f t="shared" si="6"/>
        <v>2023-09-10_0008</v>
      </c>
      <c r="C250" s="8">
        <v>45179</v>
      </c>
      <c r="D250" s="11">
        <v>8</v>
      </c>
      <c r="E250" s="12" t="s">
        <v>15</v>
      </c>
      <c r="F250" s="6">
        <v>45152</v>
      </c>
      <c r="G250" s="9" t="s">
        <v>39</v>
      </c>
      <c r="H250" s="9">
        <f t="shared" si="7"/>
        <v>27</v>
      </c>
      <c r="I250" s="9" t="s">
        <v>18</v>
      </c>
      <c r="J250" s="9" t="s">
        <v>36</v>
      </c>
      <c r="K250" s="22">
        <v>45.451999999999998</v>
      </c>
      <c r="L250" s="22">
        <v>2.355</v>
      </c>
      <c r="M250" s="22">
        <v>2.0030000000000001</v>
      </c>
      <c r="N250" t="s">
        <v>14</v>
      </c>
      <c r="O250" t="s">
        <v>40</v>
      </c>
    </row>
    <row r="251" spans="1:15" ht="16" x14ac:dyDescent="0.4">
      <c r="A251">
        <v>66</v>
      </c>
      <c r="B251" t="str">
        <f t="shared" si="6"/>
        <v>2023-09-10_0009</v>
      </c>
      <c r="C251" s="8">
        <v>45179</v>
      </c>
      <c r="D251" s="11">
        <v>9</v>
      </c>
      <c r="E251" s="12" t="s">
        <v>11</v>
      </c>
      <c r="F251" s="6">
        <v>45145</v>
      </c>
      <c r="G251" s="9" t="s">
        <v>36</v>
      </c>
      <c r="H251" s="9">
        <f t="shared" si="7"/>
        <v>34</v>
      </c>
      <c r="I251" s="9" t="s">
        <v>18</v>
      </c>
      <c r="J251" s="9" t="s">
        <v>39</v>
      </c>
      <c r="K251" s="22">
        <v>45.966000000000001</v>
      </c>
      <c r="L251" s="22">
        <v>2.3849999999999998</v>
      </c>
      <c r="M251" s="22">
        <v>2.0129999999999999</v>
      </c>
      <c r="N251" t="s">
        <v>14</v>
      </c>
      <c r="O251" t="s">
        <v>66</v>
      </c>
    </row>
    <row r="252" spans="1:15" ht="16" x14ac:dyDescent="0.4">
      <c r="A252">
        <v>67</v>
      </c>
      <c r="B252" t="str">
        <f t="shared" si="6"/>
        <v>2023-09-10_0010</v>
      </c>
      <c r="C252" s="8">
        <v>45179</v>
      </c>
      <c r="D252" s="11">
        <v>10</v>
      </c>
      <c r="E252" s="12" t="s">
        <v>11</v>
      </c>
      <c r="F252" s="6">
        <v>45150</v>
      </c>
      <c r="G252" s="9" t="s">
        <v>36</v>
      </c>
      <c r="H252" s="9">
        <f t="shared" si="7"/>
        <v>29</v>
      </c>
      <c r="I252" s="9" t="s">
        <v>37</v>
      </c>
      <c r="J252" s="9" t="s">
        <v>36</v>
      </c>
      <c r="K252" s="22">
        <v>44.853000000000002</v>
      </c>
      <c r="L252" s="22">
        <v>2.2229999999999999</v>
      </c>
      <c r="M252" s="22">
        <v>1.879</v>
      </c>
      <c r="N252" t="s">
        <v>14</v>
      </c>
    </row>
    <row r="253" spans="1:15" ht="16" x14ac:dyDescent="0.4">
      <c r="A253">
        <v>67</v>
      </c>
      <c r="B253" t="str">
        <f t="shared" si="6"/>
        <v>2023-09-10_0011</v>
      </c>
      <c r="C253" s="8">
        <v>45179</v>
      </c>
      <c r="D253" s="11">
        <v>11</v>
      </c>
      <c r="E253" s="12" t="s">
        <v>11</v>
      </c>
      <c r="F253" s="6">
        <v>45127</v>
      </c>
      <c r="G253" s="9" t="s">
        <v>36</v>
      </c>
      <c r="H253" s="9">
        <f t="shared" si="7"/>
        <v>52</v>
      </c>
      <c r="I253" s="9" t="s">
        <v>18</v>
      </c>
      <c r="J253" s="9" t="s">
        <v>36</v>
      </c>
      <c r="K253" s="22">
        <v>51.536000000000001</v>
      </c>
      <c r="L253" s="22">
        <v>2.6890000000000001</v>
      </c>
      <c r="M253" s="22">
        <v>2.1219999999999999</v>
      </c>
      <c r="N253" t="s">
        <v>14</v>
      </c>
      <c r="O253" t="s">
        <v>42</v>
      </c>
    </row>
    <row r="254" spans="1:15" ht="16" x14ac:dyDescent="0.4">
      <c r="A254">
        <v>67</v>
      </c>
      <c r="B254" t="str">
        <f t="shared" si="6"/>
        <v>2023-09-10_0012</v>
      </c>
      <c r="C254" s="8">
        <v>45179</v>
      </c>
      <c r="D254" s="11">
        <v>12</v>
      </c>
      <c r="E254" s="12" t="s">
        <v>11</v>
      </c>
      <c r="F254" s="6">
        <v>45141</v>
      </c>
      <c r="G254" s="9" t="s">
        <v>36</v>
      </c>
      <c r="H254" s="9">
        <f t="shared" si="7"/>
        <v>38</v>
      </c>
      <c r="I254" s="9" t="s">
        <v>18</v>
      </c>
      <c r="J254" s="9" t="s">
        <v>36</v>
      </c>
      <c r="K254" s="19" t="s">
        <v>21</v>
      </c>
      <c r="L254" s="22">
        <v>2.3530000000000002</v>
      </c>
      <c r="M254" s="22">
        <v>1.9570000000000001</v>
      </c>
      <c r="N254" t="s">
        <v>16</v>
      </c>
      <c r="O254" t="s">
        <v>48</v>
      </c>
    </row>
    <row r="255" spans="1:15" ht="16" x14ac:dyDescent="0.4">
      <c r="A255">
        <v>67</v>
      </c>
      <c r="B255" t="str">
        <f t="shared" si="6"/>
        <v>2023-09-10_0013</v>
      </c>
      <c r="C255" s="8">
        <v>45179</v>
      </c>
      <c r="D255" s="11">
        <v>13</v>
      </c>
      <c r="E255" s="12" t="s">
        <v>11</v>
      </c>
      <c r="F255" s="6">
        <v>45128</v>
      </c>
      <c r="G255" s="9" t="s">
        <v>39</v>
      </c>
      <c r="H255" s="9">
        <f t="shared" si="7"/>
        <v>51</v>
      </c>
      <c r="I255" s="9" t="s">
        <v>12</v>
      </c>
      <c r="J255" s="9" t="s">
        <v>39</v>
      </c>
      <c r="K255" s="19" t="s">
        <v>21</v>
      </c>
      <c r="L255" s="22">
        <v>2.5150000000000001</v>
      </c>
      <c r="M255" s="22">
        <v>2.08</v>
      </c>
      <c r="N255" t="s">
        <v>16</v>
      </c>
      <c r="O255" t="s">
        <v>67</v>
      </c>
    </row>
    <row r="256" spans="1:15" ht="16" x14ac:dyDescent="0.4">
      <c r="A256">
        <v>67</v>
      </c>
      <c r="B256" t="str">
        <f t="shared" si="6"/>
        <v>2023-09-10_0014</v>
      </c>
      <c r="C256" s="8">
        <v>45179</v>
      </c>
      <c r="D256" s="11">
        <v>14</v>
      </c>
      <c r="E256" s="12" t="s">
        <v>11</v>
      </c>
      <c r="F256" s="6">
        <v>45157</v>
      </c>
      <c r="G256" s="9" t="s">
        <v>36</v>
      </c>
      <c r="H256" s="9">
        <f t="shared" si="7"/>
        <v>22</v>
      </c>
      <c r="I256" s="9" t="s">
        <v>18</v>
      </c>
      <c r="J256" s="9" t="s">
        <v>36</v>
      </c>
      <c r="K256" s="19" t="s">
        <v>21</v>
      </c>
      <c r="L256" s="22">
        <v>2.4630000000000001</v>
      </c>
      <c r="M256" s="22">
        <v>1.958</v>
      </c>
      <c r="N256" t="s">
        <v>16</v>
      </c>
      <c r="O256" t="s">
        <v>48</v>
      </c>
    </row>
    <row r="257" spans="1:15" ht="16" x14ac:dyDescent="0.4">
      <c r="A257">
        <v>33</v>
      </c>
      <c r="B257" t="str">
        <f t="shared" si="6"/>
        <v>2023-09-07_0001</v>
      </c>
      <c r="C257" s="8">
        <v>45176</v>
      </c>
      <c r="D257" s="11">
        <v>1</v>
      </c>
      <c r="E257" s="12" t="s">
        <v>15</v>
      </c>
      <c r="F257" s="6">
        <v>45156</v>
      </c>
      <c r="G257" s="9" t="s">
        <v>36</v>
      </c>
      <c r="H257" s="9">
        <f t="shared" si="7"/>
        <v>20</v>
      </c>
      <c r="I257" s="9" t="s">
        <v>12</v>
      </c>
      <c r="J257" s="9" t="s">
        <v>36</v>
      </c>
      <c r="K257" s="19">
        <v>43.872</v>
      </c>
      <c r="L257" s="22">
        <v>2.173</v>
      </c>
      <c r="M257" s="22">
        <v>1.877</v>
      </c>
      <c r="N257" t="s">
        <v>14</v>
      </c>
    </row>
    <row r="258" spans="1:15" ht="16" x14ac:dyDescent="0.4">
      <c r="A258">
        <v>33</v>
      </c>
      <c r="B258" t="str">
        <f t="shared" ref="B258:B321" si="8">IF(ISBLANK(C258),NA(),_xlfn.CONCAT(TEXT(C258,"YYYY-MM-DD"),"_",TEXT(D258,"0000")))</f>
        <v>2023-09-07_0002</v>
      </c>
      <c r="C258" s="8">
        <v>45176</v>
      </c>
      <c r="D258" s="11">
        <v>2</v>
      </c>
      <c r="E258" s="12" t="s">
        <v>15</v>
      </c>
      <c r="F258" s="6">
        <v>45148</v>
      </c>
      <c r="G258" s="9" t="s">
        <v>36</v>
      </c>
      <c r="H258" s="9">
        <f t="shared" ref="H258:H321" si="9">IF(F258="NA","NA", DATEDIF(F258,C258,"d"))</f>
        <v>28</v>
      </c>
      <c r="I258" s="9" t="s">
        <v>37</v>
      </c>
      <c r="J258" s="9" t="s">
        <v>36</v>
      </c>
      <c r="K258" s="19">
        <v>39.402999999999999</v>
      </c>
      <c r="L258" s="22">
        <v>2.0249999999999999</v>
      </c>
      <c r="M258" s="22">
        <v>1.7589999999999999</v>
      </c>
      <c r="N258" t="s">
        <v>14</v>
      </c>
    </row>
    <row r="259" spans="1:15" ht="16" x14ac:dyDescent="0.4">
      <c r="A259">
        <v>33</v>
      </c>
      <c r="B259" t="str">
        <f t="shared" si="8"/>
        <v>2023-09-07_0003</v>
      </c>
      <c r="C259" s="8">
        <v>45176</v>
      </c>
      <c r="D259" s="11">
        <v>3</v>
      </c>
      <c r="E259" s="12" t="s">
        <v>11</v>
      </c>
      <c r="F259" s="6">
        <v>45163</v>
      </c>
      <c r="G259" s="9" t="s">
        <v>36</v>
      </c>
      <c r="H259" s="9">
        <f t="shared" si="9"/>
        <v>13</v>
      </c>
      <c r="I259" s="9" t="s">
        <v>18</v>
      </c>
      <c r="J259" s="9" t="s">
        <v>36</v>
      </c>
      <c r="K259" s="19">
        <v>44.863</v>
      </c>
      <c r="L259" s="22">
        <v>2.2810000000000001</v>
      </c>
      <c r="M259" s="22">
        <v>1.87</v>
      </c>
      <c r="N259" t="s">
        <v>14</v>
      </c>
    </row>
    <row r="260" spans="1:15" ht="16" x14ac:dyDescent="0.4">
      <c r="A260">
        <v>33</v>
      </c>
      <c r="B260" t="str">
        <f t="shared" si="8"/>
        <v>2023-09-07_0004</v>
      </c>
      <c r="C260" s="8">
        <v>45176</v>
      </c>
      <c r="D260" s="11">
        <v>4</v>
      </c>
      <c r="E260" s="12" t="s">
        <v>11</v>
      </c>
      <c r="F260" s="6">
        <v>45139</v>
      </c>
      <c r="G260" s="9" t="s">
        <v>36</v>
      </c>
      <c r="H260" s="9">
        <f t="shared" si="9"/>
        <v>37</v>
      </c>
      <c r="I260" s="9" t="s">
        <v>37</v>
      </c>
      <c r="J260" s="9" t="s">
        <v>36</v>
      </c>
      <c r="K260" s="19">
        <v>47.957999999999998</v>
      </c>
      <c r="L260" s="22">
        <v>2.3969999999999998</v>
      </c>
      <c r="M260" s="22">
        <v>1.931</v>
      </c>
      <c r="N260" t="s">
        <v>14</v>
      </c>
    </row>
    <row r="261" spans="1:15" ht="16" x14ac:dyDescent="0.4">
      <c r="A261">
        <v>33</v>
      </c>
      <c r="B261" t="str">
        <f t="shared" si="8"/>
        <v>2023-09-07_0005</v>
      </c>
      <c r="C261" s="8">
        <v>45176</v>
      </c>
      <c r="D261" s="11">
        <v>5</v>
      </c>
      <c r="E261" s="12" t="s">
        <v>15</v>
      </c>
      <c r="F261" s="6">
        <v>45147</v>
      </c>
      <c r="G261" s="9" t="s">
        <v>36</v>
      </c>
      <c r="H261" s="9">
        <f t="shared" si="9"/>
        <v>29</v>
      </c>
      <c r="I261" s="9" t="s">
        <v>37</v>
      </c>
      <c r="J261" s="9" t="s">
        <v>36</v>
      </c>
      <c r="K261" s="19">
        <v>45.527000000000001</v>
      </c>
      <c r="L261" s="22">
        <v>2.2759999999999998</v>
      </c>
      <c r="M261" s="22">
        <v>1.7749999999999999</v>
      </c>
      <c r="N261" t="s">
        <v>14</v>
      </c>
    </row>
    <row r="262" spans="1:15" ht="16" x14ac:dyDescent="0.4">
      <c r="A262">
        <v>34</v>
      </c>
      <c r="B262" t="str">
        <f t="shared" si="8"/>
        <v>2023-09-07_0006</v>
      </c>
      <c r="C262" s="8">
        <v>45176</v>
      </c>
      <c r="D262" s="11">
        <v>6</v>
      </c>
      <c r="E262" s="12" t="s">
        <v>15</v>
      </c>
      <c r="F262" s="6">
        <v>45173</v>
      </c>
      <c r="G262" s="9" t="s">
        <v>39</v>
      </c>
      <c r="H262" s="9">
        <f t="shared" si="9"/>
        <v>3</v>
      </c>
      <c r="I262" s="9" t="s">
        <v>12</v>
      </c>
      <c r="J262" s="9" t="s">
        <v>36</v>
      </c>
      <c r="K262" s="19">
        <v>39.284999999999997</v>
      </c>
      <c r="L262" s="22">
        <v>2.0179999999999998</v>
      </c>
      <c r="M262" s="22">
        <v>1.7729999999999999</v>
      </c>
      <c r="N262" t="s">
        <v>14</v>
      </c>
      <c r="O262" t="s">
        <v>40</v>
      </c>
    </row>
    <row r="263" spans="1:15" ht="16" x14ac:dyDescent="0.4">
      <c r="A263">
        <v>34</v>
      </c>
      <c r="B263" t="str">
        <f t="shared" si="8"/>
        <v>2023-09-07_0007</v>
      </c>
      <c r="C263" s="8">
        <v>45176</v>
      </c>
      <c r="D263" s="11">
        <v>7</v>
      </c>
      <c r="E263" s="12" t="s">
        <v>15</v>
      </c>
      <c r="F263" s="6">
        <v>45150</v>
      </c>
      <c r="G263" s="9" t="s">
        <v>36</v>
      </c>
      <c r="H263" s="9">
        <f t="shared" si="9"/>
        <v>26</v>
      </c>
      <c r="I263" s="9" t="s">
        <v>21</v>
      </c>
      <c r="J263" s="9" t="s">
        <v>21</v>
      </c>
      <c r="K263" s="19">
        <v>45.323999999999998</v>
      </c>
      <c r="L263" s="22">
        <v>2.214</v>
      </c>
      <c r="M263" s="22">
        <v>1.81</v>
      </c>
      <c r="N263" t="s">
        <v>14</v>
      </c>
      <c r="O263" t="s">
        <v>68</v>
      </c>
    </row>
    <row r="264" spans="1:15" ht="16" x14ac:dyDescent="0.4">
      <c r="A264">
        <v>34</v>
      </c>
      <c r="B264" t="str">
        <f t="shared" si="8"/>
        <v>2023-09-07_0008</v>
      </c>
      <c r="C264" s="8">
        <v>45176</v>
      </c>
      <c r="D264" s="11">
        <v>8</v>
      </c>
      <c r="E264" s="12" t="s">
        <v>11</v>
      </c>
      <c r="F264" s="6">
        <v>45131</v>
      </c>
      <c r="G264" s="9" t="s">
        <v>39</v>
      </c>
      <c r="H264" s="9">
        <f t="shared" si="9"/>
        <v>45</v>
      </c>
      <c r="I264" s="9" t="s">
        <v>38</v>
      </c>
      <c r="J264" s="9" t="s">
        <v>36</v>
      </c>
      <c r="K264" s="19">
        <v>47.624000000000002</v>
      </c>
      <c r="L264" s="22">
        <v>2.5819999999999999</v>
      </c>
      <c r="M264" s="22">
        <v>2.1070000000000002</v>
      </c>
      <c r="N264" t="s">
        <v>14</v>
      </c>
      <c r="O264" t="s">
        <v>59</v>
      </c>
    </row>
    <row r="265" spans="1:15" ht="16" x14ac:dyDescent="0.4">
      <c r="A265">
        <v>34</v>
      </c>
      <c r="B265" t="str">
        <f t="shared" si="8"/>
        <v>2023-09-07_0009</v>
      </c>
      <c r="C265" s="8">
        <v>45176</v>
      </c>
      <c r="D265" s="11">
        <v>9</v>
      </c>
      <c r="E265" s="12" t="s">
        <v>11</v>
      </c>
      <c r="F265" s="6">
        <v>45159</v>
      </c>
      <c r="G265" s="9" t="s">
        <v>36</v>
      </c>
      <c r="H265" s="9">
        <f t="shared" si="9"/>
        <v>17</v>
      </c>
      <c r="I265" s="9" t="s">
        <v>12</v>
      </c>
      <c r="J265" s="9" t="s">
        <v>36</v>
      </c>
      <c r="K265" s="19">
        <v>46.738</v>
      </c>
      <c r="L265" s="22">
        <v>2.339</v>
      </c>
      <c r="M265" s="22">
        <v>1.9159999999999999</v>
      </c>
      <c r="N265" t="s">
        <v>14</v>
      </c>
    </row>
    <row r="266" spans="1:15" ht="16" x14ac:dyDescent="0.4">
      <c r="A266">
        <v>34</v>
      </c>
      <c r="B266" t="str">
        <f t="shared" si="8"/>
        <v>2023-09-07_0010</v>
      </c>
      <c r="C266" s="8">
        <v>45176</v>
      </c>
      <c r="D266" s="11">
        <v>10</v>
      </c>
      <c r="E266" s="12" t="s">
        <v>15</v>
      </c>
      <c r="F266" s="6">
        <v>45150</v>
      </c>
      <c r="G266" s="9" t="s">
        <v>36</v>
      </c>
      <c r="H266" s="9">
        <f t="shared" si="9"/>
        <v>26</v>
      </c>
      <c r="I266" s="9" t="s">
        <v>12</v>
      </c>
      <c r="J266" s="9" t="s">
        <v>36</v>
      </c>
      <c r="K266" s="19">
        <v>41.344999999999999</v>
      </c>
      <c r="L266" s="22">
        <v>2.0449999999999999</v>
      </c>
      <c r="M266" s="22">
        <v>1.6850000000000001</v>
      </c>
      <c r="N266" t="s">
        <v>14</v>
      </c>
    </row>
    <row r="267" spans="1:15" ht="16" x14ac:dyDescent="0.4">
      <c r="A267">
        <v>34</v>
      </c>
      <c r="B267" t="str">
        <f t="shared" si="8"/>
        <v>2023-09-07_0011</v>
      </c>
      <c r="C267" s="8">
        <v>45176</v>
      </c>
      <c r="D267" s="11">
        <v>11</v>
      </c>
      <c r="E267" s="12" t="s">
        <v>15</v>
      </c>
      <c r="F267" s="6" t="s">
        <v>21</v>
      </c>
      <c r="G267" s="9" t="s">
        <v>21</v>
      </c>
      <c r="H267" s="9" t="str">
        <f t="shared" si="9"/>
        <v>NA</v>
      </c>
      <c r="I267" s="9" t="s">
        <v>12</v>
      </c>
      <c r="J267" s="9" t="s">
        <v>39</v>
      </c>
      <c r="K267" s="19">
        <v>43.219000000000001</v>
      </c>
      <c r="L267" s="22">
        <v>2.359</v>
      </c>
      <c r="M267" s="22">
        <v>1.9930000000000001</v>
      </c>
      <c r="N267" t="s">
        <v>14</v>
      </c>
      <c r="O267" t="s">
        <v>69</v>
      </c>
    </row>
    <row r="268" spans="1:15" ht="16" x14ac:dyDescent="0.4">
      <c r="A268">
        <v>34</v>
      </c>
      <c r="B268" t="str">
        <f t="shared" si="8"/>
        <v>2023-09-07_0012</v>
      </c>
      <c r="C268" s="8">
        <v>45176</v>
      </c>
      <c r="D268" s="11">
        <v>12</v>
      </c>
      <c r="E268" s="12" t="s">
        <v>11</v>
      </c>
      <c r="F268" s="6">
        <v>45159</v>
      </c>
      <c r="G268" s="9" t="s">
        <v>39</v>
      </c>
      <c r="H268" s="9">
        <f t="shared" si="9"/>
        <v>17</v>
      </c>
      <c r="I268" s="9" t="s">
        <v>12</v>
      </c>
      <c r="J268" s="9" t="s">
        <v>36</v>
      </c>
      <c r="K268" s="19">
        <v>40.700000000000003</v>
      </c>
      <c r="L268" s="22">
        <v>2.19</v>
      </c>
      <c r="M268" s="22">
        <v>1.8979999999999999</v>
      </c>
      <c r="N268" t="s">
        <v>14</v>
      </c>
      <c r="O268" t="s">
        <v>40</v>
      </c>
    </row>
    <row r="269" spans="1:15" ht="16" x14ac:dyDescent="0.4">
      <c r="A269">
        <v>34</v>
      </c>
      <c r="B269" t="str">
        <f t="shared" si="8"/>
        <v>2023-09-07_0013</v>
      </c>
      <c r="C269" s="8">
        <v>45176</v>
      </c>
      <c r="D269" s="11">
        <v>13</v>
      </c>
      <c r="E269" s="12" t="s">
        <v>11</v>
      </c>
      <c r="F269" s="6">
        <v>45152</v>
      </c>
      <c r="G269" s="9" t="s">
        <v>36</v>
      </c>
      <c r="H269" s="9">
        <f t="shared" si="9"/>
        <v>24</v>
      </c>
      <c r="I269" s="9" t="s">
        <v>18</v>
      </c>
      <c r="J269" s="9" t="s">
        <v>36</v>
      </c>
      <c r="K269" s="19">
        <v>39.204000000000001</v>
      </c>
      <c r="L269" s="22">
        <v>2.1150000000000002</v>
      </c>
      <c r="M269" s="22">
        <v>1.7529999999999999</v>
      </c>
      <c r="N269" t="s">
        <v>14</v>
      </c>
      <c r="O269" t="s">
        <v>42</v>
      </c>
    </row>
    <row r="270" spans="1:15" ht="16" x14ac:dyDescent="0.4">
      <c r="A270">
        <v>46</v>
      </c>
      <c r="B270" t="str">
        <f t="shared" si="8"/>
        <v>2023-09-06_0001</v>
      </c>
      <c r="C270" s="8">
        <v>45175</v>
      </c>
      <c r="D270" s="11">
        <v>1</v>
      </c>
      <c r="E270" s="12" t="s">
        <v>15</v>
      </c>
      <c r="F270" s="6">
        <v>45151</v>
      </c>
      <c r="G270" s="9" t="s">
        <v>36</v>
      </c>
      <c r="H270" s="9">
        <f t="shared" si="9"/>
        <v>24</v>
      </c>
      <c r="I270" s="9" t="s">
        <v>18</v>
      </c>
      <c r="J270" s="9" t="s">
        <v>36</v>
      </c>
      <c r="K270" s="19">
        <v>46.377000000000002</v>
      </c>
      <c r="L270" s="22">
        <v>2.3159999999999998</v>
      </c>
      <c r="M270" s="22">
        <v>1.913</v>
      </c>
      <c r="N270" t="s">
        <v>14</v>
      </c>
    </row>
    <row r="271" spans="1:15" ht="16" x14ac:dyDescent="0.4">
      <c r="A271">
        <v>46</v>
      </c>
      <c r="B271" t="str">
        <f t="shared" si="8"/>
        <v>2023-09-06_0002</v>
      </c>
      <c r="C271" s="8">
        <v>45175</v>
      </c>
      <c r="D271" s="11">
        <v>2</v>
      </c>
      <c r="E271" s="12" t="s">
        <v>15</v>
      </c>
      <c r="F271" s="6">
        <v>45150</v>
      </c>
      <c r="G271" s="9" t="s">
        <v>36</v>
      </c>
      <c r="H271" s="9">
        <f t="shared" si="9"/>
        <v>25</v>
      </c>
      <c r="I271" s="9" t="s">
        <v>18</v>
      </c>
      <c r="J271" s="9" t="s">
        <v>36</v>
      </c>
      <c r="K271" s="19">
        <v>45.287999999999997</v>
      </c>
      <c r="L271" s="22">
        <v>2.3530000000000002</v>
      </c>
      <c r="M271" s="22">
        <v>1.8959999999999999</v>
      </c>
      <c r="N271" t="s">
        <v>14</v>
      </c>
    </row>
    <row r="272" spans="1:15" ht="16" x14ac:dyDescent="0.4">
      <c r="A272">
        <v>46</v>
      </c>
      <c r="B272" t="str">
        <f t="shared" si="8"/>
        <v>2023-09-06_0003</v>
      </c>
      <c r="C272" s="8">
        <v>45175</v>
      </c>
      <c r="D272" s="11">
        <v>3</v>
      </c>
      <c r="E272" s="12" t="s">
        <v>11</v>
      </c>
      <c r="F272" s="6">
        <v>45147</v>
      </c>
      <c r="G272" s="9" t="s">
        <v>36</v>
      </c>
      <c r="H272" s="9">
        <f t="shared" si="9"/>
        <v>28</v>
      </c>
      <c r="I272" s="9" t="s">
        <v>18</v>
      </c>
      <c r="J272" s="9" t="s">
        <v>39</v>
      </c>
      <c r="K272" s="19" t="s">
        <v>21</v>
      </c>
      <c r="L272" s="22">
        <v>2.5169999999999999</v>
      </c>
      <c r="M272" s="22">
        <v>1.9930000000000001</v>
      </c>
      <c r="N272" t="s">
        <v>16</v>
      </c>
      <c r="O272" t="s">
        <v>51</v>
      </c>
    </row>
    <row r="273" spans="1:15" ht="16" x14ac:dyDescent="0.4">
      <c r="A273">
        <v>46</v>
      </c>
      <c r="B273" t="str">
        <f t="shared" si="8"/>
        <v>2023-09-06_0004</v>
      </c>
      <c r="C273" s="8">
        <v>45175</v>
      </c>
      <c r="D273" s="11">
        <v>4</v>
      </c>
      <c r="E273" s="12" t="s">
        <v>11</v>
      </c>
      <c r="F273" s="6">
        <v>45145</v>
      </c>
      <c r="G273" s="9" t="s">
        <v>39</v>
      </c>
      <c r="H273" s="9">
        <f t="shared" si="9"/>
        <v>30</v>
      </c>
      <c r="I273" s="9" t="s">
        <v>18</v>
      </c>
      <c r="J273" s="9" t="s">
        <v>39</v>
      </c>
      <c r="K273" s="19" t="s">
        <v>21</v>
      </c>
      <c r="L273" s="22">
        <v>2.3180000000000001</v>
      </c>
      <c r="M273" s="22">
        <v>2.0030000000000001</v>
      </c>
      <c r="N273" t="s">
        <v>16</v>
      </c>
      <c r="O273" t="s">
        <v>67</v>
      </c>
    </row>
    <row r="274" spans="1:15" ht="16" x14ac:dyDescent="0.4">
      <c r="A274">
        <v>21</v>
      </c>
      <c r="B274" t="str">
        <f t="shared" si="8"/>
        <v>2023-09-05_0001</v>
      </c>
      <c r="C274" s="8">
        <v>45174</v>
      </c>
      <c r="D274" s="11">
        <v>1</v>
      </c>
      <c r="E274" s="12" t="s">
        <v>11</v>
      </c>
      <c r="F274" s="6">
        <v>45151</v>
      </c>
      <c r="G274" s="9" t="s">
        <v>36</v>
      </c>
      <c r="H274" s="9">
        <f t="shared" si="9"/>
        <v>23</v>
      </c>
      <c r="I274" s="9" t="s">
        <v>12</v>
      </c>
      <c r="J274" s="9" t="s">
        <v>36</v>
      </c>
      <c r="K274" s="19">
        <v>44.859000000000002</v>
      </c>
      <c r="L274" s="22">
        <v>2.2170000000000001</v>
      </c>
      <c r="M274" s="22">
        <v>1.871</v>
      </c>
      <c r="N274" t="s">
        <v>14</v>
      </c>
    </row>
    <row r="275" spans="1:15" ht="16" x14ac:dyDescent="0.4">
      <c r="A275">
        <v>21</v>
      </c>
      <c r="B275" t="str">
        <f t="shared" si="8"/>
        <v>2023-09-05_0002</v>
      </c>
      <c r="C275" s="8">
        <v>45174</v>
      </c>
      <c r="D275" s="11">
        <v>2</v>
      </c>
      <c r="E275" s="12" t="s">
        <v>15</v>
      </c>
      <c r="F275" s="6">
        <v>45166</v>
      </c>
      <c r="G275" s="9" t="s">
        <v>36</v>
      </c>
      <c r="H275" s="9">
        <f t="shared" si="9"/>
        <v>8</v>
      </c>
      <c r="I275" s="9" t="s">
        <v>37</v>
      </c>
      <c r="J275" s="9" t="s">
        <v>36</v>
      </c>
      <c r="K275" s="19">
        <v>44.587000000000003</v>
      </c>
      <c r="L275" s="22">
        <v>2.2360000000000002</v>
      </c>
      <c r="M275" s="22">
        <v>1.849</v>
      </c>
      <c r="N275" t="s">
        <v>14</v>
      </c>
    </row>
    <row r="276" spans="1:15" ht="16" x14ac:dyDescent="0.4">
      <c r="A276">
        <v>21</v>
      </c>
      <c r="B276" t="str">
        <f t="shared" si="8"/>
        <v>2023-09-05_0003</v>
      </c>
      <c r="C276" s="8">
        <v>45174</v>
      </c>
      <c r="D276" s="11">
        <v>3</v>
      </c>
      <c r="E276" s="12" t="s">
        <v>15</v>
      </c>
      <c r="F276" s="6">
        <v>45156</v>
      </c>
      <c r="G276" s="9" t="s">
        <v>36</v>
      </c>
      <c r="H276" s="9">
        <f t="shared" si="9"/>
        <v>18</v>
      </c>
      <c r="I276" s="9" t="s">
        <v>12</v>
      </c>
      <c r="J276" s="9" t="s">
        <v>36</v>
      </c>
      <c r="K276" s="19">
        <v>44.402999999999999</v>
      </c>
      <c r="L276" s="22">
        <v>2.2759999999999998</v>
      </c>
      <c r="M276" s="22">
        <v>1.8740000000000001</v>
      </c>
      <c r="N276" t="s">
        <v>14</v>
      </c>
    </row>
    <row r="277" spans="1:15" ht="16" x14ac:dyDescent="0.4">
      <c r="A277">
        <v>21</v>
      </c>
      <c r="B277" t="str">
        <f t="shared" si="8"/>
        <v>2023-09-05_0004</v>
      </c>
      <c r="C277" s="8">
        <v>45174</v>
      </c>
      <c r="D277" s="11">
        <v>4</v>
      </c>
      <c r="E277" s="12" t="s">
        <v>15</v>
      </c>
      <c r="F277" s="6">
        <v>45150</v>
      </c>
      <c r="G277" s="9" t="s">
        <v>36</v>
      </c>
      <c r="H277" s="9">
        <f t="shared" si="9"/>
        <v>24</v>
      </c>
      <c r="I277" s="9" t="s">
        <v>12</v>
      </c>
      <c r="J277" s="9" t="s">
        <v>36</v>
      </c>
      <c r="K277" s="19">
        <v>46.524999999999999</v>
      </c>
      <c r="L277" s="22">
        <v>2.4020000000000001</v>
      </c>
      <c r="M277" s="22">
        <v>1.95</v>
      </c>
      <c r="N277" t="s">
        <v>14</v>
      </c>
    </row>
    <row r="278" spans="1:15" ht="16" x14ac:dyDescent="0.4">
      <c r="A278">
        <v>21</v>
      </c>
      <c r="B278" t="str">
        <f t="shared" si="8"/>
        <v>2023-09-05_0005</v>
      </c>
      <c r="C278" s="8">
        <v>45174</v>
      </c>
      <c r="D278" s="11">
        <v>5</v>
      </c>
      <c r="E278" s="12" t="s">
        <v>11</v>
      </c>
      <c r="F278" s="6">
        <v>45157</v>
      </c>
      <c r="G278" s="9" t="s">
        <v>36</v>
      </c>
      <c r="H278" s="9">
        <f t="shared" si="9"/>
        <v>17</v>
      </c>
      <c r="I278" s="9" t="s">
        <v>12</v>
      </c>
      <c r="J278" s="9" t="s">
        <v>36</v>
      </c>
      <c r="K278" s="19">
        <v>43.622</v>
      </c>
      <c r="L278" s="22">
        <v>2.411</v>
      </c>
      <c r="M278" s="22">
        <v>1.911</v>
      </c>
      <c r="N278" t="s">
        <v>14</v>
      </c>
    </row>
    <row r="279" spans="1:15" ht="16" x14ac:dyDescent="0.4">
      <c r="A279">
        <v>21</v>
      </c>
      <c r="B279" t="str">
        <f t="shared" si="8"/>
        <v>2023-09-05_0006</v>
      </c>
      <c r="C279" s="8">
        <v>45174</v>
      </c>
      <c r="D279" s="11">
        <v>6</v>
      </c>
      <c r="E279" s="12" t="s">
        <v>11</v>
      </c>
      <c r="F279" s="6">
        <v>45146</v>
      </c>
      <c r="G279" s="9" t="s">
        <v>36</v>
      </c>
      <c r="H279" s="9">
        <f t="shared" si="9"/>
        <v>28</v>
      </c>
      <c r="I279" s="9" t="s">
        <v>38</v>
      </c>
      <c r="J279" s="9" t="s">
        <v>36</v>
      </c>
      <c r="K279" s="19">
        <v>45.387999999999998</v>
      </c>
      <c r="L279" s="22">
        <v>2.5150000000000001</v>
      </c>
      <c r="M279" s="22">
        <v>1.972</v>
      </c>
      <c r="N279" t="s">
        <v>14</v>
      </c>
    </row>
    <row r="280" spans="1:15" ht="16" x14ac:dyDescent="0.4">
      <c r="A280">
        <v>22</v>
      </c>
      <c r="B280" t="str">
        <f t="shared" si="8"/>
        <v>2023-09-05_0007</v>
      </c>
      <c r="C280" s="8">
        <v>45174</v>
      </c>
      <c r="D280" s="11">
        <v>7</v>
      </c>
      <c r="E280" s="12" t="s">
        <v>15</v>
      </c>
      <c r="F280" s="6">
        <v>45150</v>
      </c>
      <c r="G280" s="9" t="s">
        <v>36</v>
      </c>
      <c r="H280" s="9">
        <f t="shared" si="9"/>
        <v>24</v>
      </c>
      <c r="I280" s="9" t="s">
        <v>12</v>
      </c>
      <c r="J280" s="9" t="s">
        <v>36</v>
      </c>
      <c r="K280" s="19">
        <v>43.362000000000002</v>
      </c>
      <c r="L280" s="22">
        <v>2.2589999999999999</v>
      </c>
      <c r="M280" s="22">
        <v>1.92</v>
      </c>
      <c r="N280" t="s">
        <v>14</v>
      </c>
    </row>
    <row r="281" spans="1:15" ht="16" x14ac:dyDescent="0.4">
      <c r="A281">
        <v>22</v>
      </c>
      <c r="B281" t="str">
        <f t="shared" si="8"/>
        <v>2023-09-05_0008</v>
      </c>
      <c r="C281" s="8">
        <v>45174</v>
      </c>
      <c r="D281" s="11">
        <v>8</v>
      </c>
      <c r="E281" s="12" t="s">
        <v>11</v>
      </c>
      <c r="F281" s="6">
        <v>45141</v>
      </c>
      <c r="G281" s="9" t="s">
        <v>36</v>
      </c>
      <c r="H281" s="9">
        <f t="shared" si="9"/>
        <v>33</v>
      </c>
      <c r="I281" s="9" t="s">
        <v>38</v>
      </c>
      <c r="J281" s="9" t="s">
        <v>36</v>
      </c>
      <c r="K281" s="19">
        <v>45.103000000000002</v>
      </c>
      <c r="L281" s="22">
        <v>2.605</v>
      </c>
      <c r="M281" s="22">
        <v>1.9119999999999999</v>
      </c>
      <c r="N281" t="s">
        <v>14</v>
      </c>
    </row>
    <row r="282" spans="1:15" ht="16" x14ac:dyDescent="0.4">
      <c r="A282">
        <v>22</v>
      </c>
      <c r="B282" t="str">
        <f t="shared" si="8"/>
        <v>2023-09-05_0009</v>
      </c>
      <c r="C282" s="8">
        <v>45174</v>
      </c>
      <c r="D282" s="11">
        <v>9</v>
      </c>
      <c r="E282" s="12" t="s">
        <v>11</v>
      </c>
      <c r="F282" s="6">
        <v>45126</v>
      </c>
      <c r="G282" s="9" t="s">
        <v>36</v>
      </c>
      <c r="H282" s="9">
        <f t="shared" si="9"/>
        <v>48</v>
      </c>
      <c r="I282" s="9" t="s">
        <v>37</v>
      </c>
      <c r="J282" s="9" t="s">
        <v>36</v>
      </c>
      <c r="K282" s="19">
        <v>44.994999999999997</v>
      </c>
      <c r="L282" s="22">
        <v>2.4460000000000002</v>
      </c>
      <c r="M282" s="22">
        <v>1.9730000000000001</v>
      </c>
      <c r="N282" t="s">
        <v>14</v>
      </c>
      <c r="O282" t="s">
        <v>42</v>
      </c>
    </row>
    <row r="283" spans="1:15" ht="16" x14ac:dyDescent="0.4">
      <c r="A283">
        <v>22</v>
      </c>
      <c r="B283" t="str">
        <f t="shared" si="8"/>
        <v>2023-09-05_0010</v>
      </c>
      <c r="C283" s="8">
        <v>45174</v>
      </c>
      <c r="D283" s="11">
        <v>10</v>
      </c>
      <c r="E283" s="12" t="s">
        <v>11</v>
      </c>
      <c r="F283" s="6">
        <v>45159</v>
      </c>
      <c r="G283" s="9" t="s">
        <v>36</v>
      </c>
      <c r="H283" s="9">
        <f t="shared" si="9"/>
        <v>15</v>
      </c>
      <c r="I283" s="9" t="s">
        <v>18</v>
      </c>
      <c r="J283" s="9" t="s">
        <v>36</v>
      </c>
      <c r="K283" s="19">
        <v>40.822000000000003</v>
      </c>
      <c r="L283" s="22">
        <v>2.2610000000000001</v>
      </c>
      <c r="M283" s="22">
        <v>1.9330000000000001</v>
      </c>
      <c r="N283" t="s">
        <v>14</v>
      </c>
    </row>
    <row r="284" spans="1:15" ht="16" x14ac:dyDescent="0.4">
      <c r="A284">
        <v>22</v>
      </c>
      <c r="B284" t="str">
        <f t="shared" si="8"/>
        <v>2023-09-05_0011</v>
      </c>
      <c r="C284" s="8">
        <v>45174</v>
      </c>
      <c r="D284" s="11">
        <v>11</v>
      </c>
      <c r="E284" s="12" t="s">
        <v>21</v>
      </c>
      <c r="F284" s="6" t="s">
        <v>21</v>
      </c>
      <c r="G284" s="9" t="s">
        <v>21</v>
      </c>
      <c r="H284" s="9" t="str">
        <f t="shared" si="9"/>
        <v>NA</v>
      </c>
      <c r="I284" s="9" t="s">
        <v>38</v>
      </c>
      <c r="J284" s="9" t="s">
        <v>36</v>
      </c>
      <c r="K284" s="19" t="s">
        <v>21</v>
      </c>
      <c r="L284" s="22">
        <v>2.508</v>
      </c>
      <c r="M284" s="22">
        <v>2.1579999999999999</v>
      </c>
      <c r="N284" t="s">
        <v>16</v>
      </c>
      <c r="O284" t="s">
        <v>70</v>
      </c>
    </row>
    <row r="285" spans="1:15" ht="16" x14ac:dyDescent="0.4">
      <c r="A285">
        <v>22</v>
      </c>
      <c r="B285" t="str">
        <f t="shared" si="8"/>
        <v>2023-09-05_0012</v>
      </c>
      <c r="C285" s="8">
        <v>45174</v>
      </c>
      <c r="D285" s="11">
        <v>12</v>
      </c>
      <c r="E285" s="12" t="s">
        <v>11</v>
      </c>
      <c r="F285" s="6">
        <v>45123</v>
      </c>
      <c r="G285" s="9" t="s">
        <v>36</v>
      </c>
      <c r="H285" s="9">
        <f t="shared" si="9"/>
        <v>51</v>
      </c>
      <c r="I285" s="9" t="s">
        <v>37</v>
      </c>
      <c r="J285" s="9" t="s">
        <v>36</v>
      </c>
      <c r="K285" s="19" t="s">
        <v>21</v>
      </c>
      <c r="L285" s="22">
        <v>2.5059999999999998</v>
      </c>
      <c r="M285" s="22">
        <v>2.1219999999999999</v>
      </c>
      <c r="N285" t="s">
        <v>16</v>
      </c>
      <c r="O285" t="s">
        <v>71</v>
      </c>
    </row>
    <row r="286" spans="1:15" ht="16" x14ac:dyDescent="0.4">
      <c r="A286">
        <v>66</v>
      </c>
      <c r="B286" t="str">
        <f t="shared" si="8"/>
        <v>2023-09-04_0001</v>
      </c>
      <c r="C286" s="8">
        <v>45173</v>
      </c>
      <c r="D286" s="11">
        <v>1</v>
      </c>
      <c r="E286" s="12" t="s">
        <v>15</v>
      </c>
      <c r="F286" s="6">
        <v>45143</v>
      </c>
      <c r="G286" s="9" t="s">
        <v>36</v>
      </c>
      <c r="H286" s="9">
        <f t="shared" si="9"/>
        <v>30</v>
      </c>
      <c r="I286" s="9" t="s">
        <v>37</v>
      </c>
      <c r="J286" s="9" t="s">
        <v>36</v>
      </c>
      <c r="K286" s="22">
        <v>47.896999999999998</v>
      </c>
      <c r="L286" s="22">
        <v>2.383</v>
      </c>
      <c r="M286" s="22">
        <v>2.1669999999999998</v>
      </c>
      <c r="N286" t="s">
        <v>14</v>
      </c>
    </row>
    <row r="287" spans="1:15" ht="16" x14ac:dyDescent="0.4">
      <c r="A287">
        <v>66</v>
      </c>
      <c r="B287" t="str">
        <f t="shared" si="8"/>
        <v>2023-09-04_0002</v>
      </c>
      <c r="C287" s="8">
        <v>45173</v>
      </c>
      <c r="D287" s="11">
        <v>2</v>
      </c>
      <c r="E287" s="12" t="s">
        <v>15</v>
      </c>
      <c r="F287" s="6">
        <v>45138</v>
      </c>
      <c r="G287" s="9" t="s">
        <v>36</v>
      </c>
      <c r="H287" s="9">
        <f t="shared" si="9"/>
        <v>35</v>
      </c>
      <c r="I287" s="9" t="s">
        <v>12</v>
      </c>
      <c r="J287" s="9" t="s">
        <v>36</v>
      </c>
      <c r="K287" s="22">
        <v>48.241999999999997</v>
      </c>
      <c r="L287" s="22">
        <v>2.3650000000000002</v>
      </c>
      <c r="M287" s="22">
        <v>2.0720000000000001</v>
      </c>
      <c r="N287" t="s">
        <v>14</v>
      </c>
    </row>
    <row r="288" spans="1:15" ht="16" x14ac:dyDescent="0.4">
      <c r="A288">
        <v>66</v>
      </c>
      <c r="B288" t="str">
        <f t="shared" si="8"/>
        <v>2023-09-04_0003</v>
      </c>
      <c r="C288" s="8">
        <v>45173</v>
      </c>
      <c r="D288" s="11">
        <v>3</v>
      </c>
      <c r="E288" s="12" t="s">
        <v>11</v>
      </c>
      <c r="F288" s="6">
        <v>45143</v>
      </c>
      <c r="G288" s="9" t="s">
        <v>36</v>
      </c>
      <c r="H288" s="9">
        <f t="shared" si="9"/>
        <v>30</v>
      </c>
      <c r="I288" s="9" t="s">
        <v>38</v>
      </c>
      <c r="J288" s="9" t="s">
        <v>36</v>
      </c>
      <c r="K288" s="22">
        <v>47.25</v>
      </c>
      <c r="L288" s="22">
        <v>2.5590000000000002</v>
      </c>
      <c r="M288" s="22">
        <v>2.14</v>
      </c>
      <c r="N288" t="s">
        <v>14</v>
      </c>
      <c r="O288" t="s">
        <v>42</v>
      </c>
    </row>
    <row r="289" spans="1:15" ht="16" x14ac:dyDescent="0.4">
      <c r="A289">
        <v>66</v>
      </c>
      <c r="B289" t="str">
        <f t="shared" si="8"/>
        <v>2023-09-04_0004</v>
      </c>
      <c r="C289" s="8">
        <v>45173</v>
      </c>
      <c r="D289" s="11">
        <v>4</v>
      </c>
      <c r="E289" s="12" t="s">
        <v>15</v>
      </c>
      <c r="F289" s="6">
        <v>45143</v>
      </c>
      <c r="G289" s="9" t="s">
        <v>36</v>
      </c>
      <c r="H289" s="9">
        <f t="shared" si="9"/>
        <v>30</v>
      </c>
      <c r="I289" s="9" t="s">
        <v>37</v>
      </c>
      <c r="J289" s="9" t="s">
        <v>36</v>
      </c>
      <c r="K289" s="22">
        <v>44.716999999999999</v>
      </c>
      <c r="L289" s="22">
        <v>2.274</v>
      </c>
      <c r="M289" s="22">
        <v>1.8879999999999999</v>
      </c>
      <c r="N289" t="s">
        <v>14</v>
      </c>
    </row>
    <row r="290" spans="1:15" ht="16" x14ac:dyDescent="0.4">
      <c r="A290">
        <v>66</v>
      </c>
      <c r="B290" t="str">
        <f t="shared" si="8"/>
        <v>2023-09-04_0005</v>
      </c>
      <c r="C290" s="8">
        <v>45173</v>
      </c>
      <c r="D290" s="11">
        <v>5</v>
      </c>
      <c r="E290" s="12" t="s">
        <v>11</v>
      </c>
      <c r="F290" s="6">
        <v>45145</v>
      </c>
      <c r="G290" s="9" t="s">
        <v>36</v>
      </c>
      <c r="H290" s="9">
        <f t="shared" si="9"/>
        <v>28</v>
      </c>
      <c r="I290" s="9" t="s">
        <v>18</v>
      </c>
      <c r="J290" s="9" t="s">
        <v>36</v>
      </c>
      <c r="K290" s="19">
        <v>46.082000000000001</v>
      </c>
      <c r="L290" s="22">
        <v>2.4700000000000002</v>
      </c>
      <c r="M290" s="22">
        <v>1.9750000000000001</v>
      </c>
      <c r="N290" t="s">
        <v>16</v>
      </c>
      <c r="O290" t="s">
        <v>48</v>
      </c>
    </row>
    <row r="291" spans="1:15" ht="16" x14ac:dyDescent="0.4">
      <c r="A291">
        <v>66</v>
      </c>
      <c r="B291" t="str">
        <f t="shared" si="8"/>
        <v>2023-09-04_0006</v>
      </c>
      <c r="C291" s="8">
        <v>45173</v>
      </c>
      <c r="D291" s="11">
        <v>6</v>
      </c>
      <c r="E291" s="12" t="s">
        <v>11</v>
      </c>
      <c r="F291" s="6">
        <v>45145</v>
      </c>
      <c r="G291" s="9" t="s">
        <v>39</v>
      </c>
      <c r="H291" s="9">
        <f t="shared" si="9"/>
        <v>28</v>
      </c>
      <c r="I291" s="9" t="s">
        <v>12</v>
      </c>
      <c r="J291" s="9" t="s">
        <v>36</v>
      </c>
      <c r="K291" s="19" t="s">
        <v>21</v>
      </c>
      <c r="L291" s="22">
        <v>2.802</v>
      </c>
      <c r="M291" s="22">
        <v>2.2149999999999999</v>
      </c>
      <c r="N291" t="s">
        <v>16</v>
      </c>
      <c r="O291" t="s">
        <v>50</v>
      </c>
    </row>
    <row r="292" spans="1:15" ht="16" x14ac:dyDescent="0.4">
      <c r="A292">
        <v>66</v>
      </c>
      <c r="B292" t="str">
        <f t="shared" si="8"/>
        <v>2023-09-04_0007</v>
      </c>
      <c r="C292" s="8">
        <v>45173</v>
      </c>
      <c r="D292" s="11">
        <v>7</v>
      </c>
      <c r="E292" s="12" t="s">
        <v>11</v>
      </c>
      <c r="F292" s="6">
        <v>45143</v>
      </c>
      <c r="G292" s="9" t="s">
        <v>36</v>
      </c>
      <c r="H292" s="9">
        <f t="shared" si="9"/>
        <v>30</v>
      </c>
      <c r="I292" s="9" t="s">
        <v>38</v>
      </c>
      <c r="J292" s="9" t="s">
        <v>36</v>
      </c>
      <c r="K292" s="19">
        <v>42.463000000000001</v>
      </c>
      <c r="L292" s="22">
        <v>2.48</v>
      </c>
      <c r="M292" s="22">
        <v>2.1429999999999998</v>
      </c>
      <c r="N292" t="s">
        <v>16</v>
      </c>
      <c r="O292" t="s">
        <v>48</v>
      </c>
    </row>
    <row r="293" spans="1:15" ht="16" x14ac:dyDescent="0.4">
      <c r="A293">
        <v>20</v>
      </c>
      <c r="B293" t="str">
        <f t="shared" si="8"/>
        <v>2023-09-03_0001</v>
      </c>
      <c r="C293" s="8">
        <v>45172</v>
      </c>
      <c r="D293" s="11">
        <v>1</v>
      </c>
      <c r="E293" s="12" t="s">
        <v>15</v>
      </c>
      <c r="F293" s="6">
        <v>45143</v>
      </c>
      <c r="G293" s="9" t="s">
        <v>36</v>
      </c>
      <c r="H293" s="9">
        <f t="shared" si="9"/>
        <v>29</v>
      </c>
      <c r="I293" s="9" t="s">
        <v>38</v>
      </c>
      <c r="J293" s="9" t="s">
        <v>36</v>
      </c>
      <c r="K293" s="19">
        <v>41.436</v>
      </c>
      <c r="L293" s="22">
        <v>2.1840000000000002</v>
      </c>
      <c r="M293" s="22">
        <v>1.7849999999999999</v>
      </c>
      <c r="N293" t="s">
        <v>14</v>
      </c>
    </row>
    <row r="294" spans="1:15" ht="16" x14ac:dyDescent="0.4">
      <c r="A294">
        <v>20</v>
      </c>
      <c r="B294" t="str">
        <f t="shared" si="8"/>
        <v>2023-09-03_0002</v>
      </c>
      <c r="C294" s="8">
        <v>45172</v>
      </c>
      <c r="D294" s="11">
        <v>2</v>
      </c>
      <c r="E294" s="12" t="s">
        <v>15</v>
      </c>
      <c r="F294" s="6">
        <v>45147</v>
      </c>
      <c r="G294" s="9" t="s">
        <v>36</v>
      </c>
      <c r="H294" s="9">
        <f t="shared" si="9"/>
        <v>25</v>
      </c>
      <c r="I294" s="9" t="s">
        <v>18</v>
      </c>
      <c r="J294" s="9" t="s">
        <v>36</v>
      </c>
      <c r="K294" s="19">
        <v>46.262999999999998</v>
      </c>
      <c r="L294" s="22">
        <v>2.4390000000000001</v>
      </c>
      <c r="M294" s="22">
        <v>2.0550000000000002</v>
      </c>
      <c r="N294" t="s">
        <v>14</v>
      </c>
    </row>
    <row r="295" spans="1:15" ht="16" x14ac:dyDescent="0.4">
      <c r="A295">
        <v>20</v>
      </c>
      <c r="B295" t="str">
        <f t="shared" si="8"/>
        <v>2023-09-03_0003</v>
      </c>
      <c r="C295" s="8">
        <v>45172</v>
      </c>
      <c r="D295" s="11">
        <v>3</v>
      </c>
      <c r="E295" s="12" t="s">
        <v>15</v>
      </c>
      <c r="F295" s="6">
        <v>45145</v>
      </c>
      <c r="G295" s="9" t="s">
        <v>36</v>
      </c>
      <c r="H295" s="9">
        <f t="shared" si="9"/>
        <v>27</v>
      </c>
      <c r="I295" s="9" t="s">
        <v>18</v>
      </c>
      <c r="J295" s="9" t="s">
        <v>36</v>
      </c>
      <c r="K295" s="19">
        <v>40.177999999999997</v>
      </c>
      <c r="L295" s="22">
        <v>2.0920000000000001</v>
      </c>
      <c r="M295" s="22">
        <v>1.871</v>
      </c>
      <c r="N295" t="s">
        <v>14</v>
      </c>
    </row>
    <row r="296" spans="1:15" ht="16" x14ac:dyDescent="0.4">
      <c r="A296">
        <v>20</v>
      </c>
      <c r="B296" t="str">
        <f t="shared" si="8"/>
        <v>2023-09-03_0004</v>
      </c>
      <c r="C296" s="8">
        <v>45172</v>
      </c>
      <c r="D296" s="11">
        <v>4</v>
      </c>
      <c r="E296" s="12" t="s">
        <v>11</v>
      </c>
      <c r="F296" s="6">
        <v>45154</v>
      </c>
      <c r="G296" s="9" t="s">
        <v>36</v>
      </c>
      <c r="H296" s="9">
        <f t="shared" si="9"/>
        <v>18</v>
      </c>
      <c r="I296" s="9" t="s">
        <v>38</v>
      </c>
      <c r="J296" s="9" t="s">
        <v>36</v>
      </c>
      <c r="K296" s="19">
        <v>48.21</v>
      </c>
      <c r="L296" s="22">
        <v>2.8109999999999999</v>
      </c>
      <c r="M296" s="22">
        <v>2.2869999999999999</v>
      </c>
      <c r="N296" t="s">
        <v>14</v>
      </c>
    </row>
    <row r="297" spans="1:15" ht="16" x14ac:dyDescent="0.4">
      <c r="A297">
        <v>20</v>
      </c>
      <c r="B297" t="str">
        <f t="shared" si="8"/>
        <v>2023-09-03_0005</v>
      </c>
      <c r="C297" s="8">
        <v>45172</v>
      </c>
      <c r="D297" s="11">
        <v>5</v>
      </c>
      <c r="E297" s="12" t="s">
        <v>15</v>
      </c>
      <c r="F297" s="6">
        <v>45141</v>
      </c>
      <c r="G297" s="9" t="s">
        <v>36</v>
      </c>
      <c r="H297" s="9">
        <f t="shared" si="9"/>
        <v>31</v>
      </c>
      <c r="I297" s="9" t="s">
        <v>12</v>
      </c>
      <c r="J297" s="9" t="s">
        <v>36</v>
      </c>
      <c r="K297" s="19">
        <v>45.692999999999998</v>
      </c>
      <c r="L297" s="22">
        <v>2.375</v>
      </c>
      <c r="M297" s="22">
        <v>1.95</v>
      </c>
      <c r="N297" t="s">
        <v>14</v>
      </c>
    </row>
    <row r="298" spans="1:15" ht="16" x14ac:dyDescent="0.4">
      <c r="A298">
        <v>20</v>
      </c>
      <c r="B298" t="str">
        <f t="shared" si="8"/>
        <v>2023-09-03_0006</v>
      </c>
      <c r="C298" s="8">
        <v>45172</v>
      </c>
      <c r="D298" s="11">
        <v>6</v>
      </c>
      <c r="E298" s="12" t="s">
        <v>15</v>
      </c>
      <c r="F298" s="6">
        <v>45150</v>
      </c>
      <c r="G298" s="9" t="s">
        <v>36</v>
      </c>
      <c r="H298" s="9">
        <f t="shared" si="9"/>
        <v>22</v>
      </c>
      <c r="I298" s="9" t="s">
        <v>12</v>
      </c>
      <c r="J298" s="9" t="s">
        <v>36</v>
      </c>
      <c r="K298" s="19">
        <v>44.228000000000002</v>
      </c>
      <c r="L298" s="22">
        <v>2.2669999999999999</v>
      </c>
      <c r="M298" s="22">
        <v>1.8879999999999999</v>
      </c>
      <c r="N298" t="s">
        <v>14</v>
      </c>
    </row>
    <row r="299" spans="1:15" ht="16" x14ac:dyDescent="0.4">
      <c r="A299">
        <v>20</v>
      </c>
      <c r="B299" t="str">
        <f t="shared" si="8"/>
        <v>2023-09-03_0007</v>
      </c>
      <c r="C299" s="8">
        <v>45172</v>
      </c>
      <c r="D299" s="11">
        <v>7</v>
      </c>
      <c r="E299" s="12" t="s">
        <v>11</v>
      </c>
      <c r="F299" s="6">
        <v>45127</v>
      </c>
      <c r="G299" s="9" t="s">
        <v>36</v>
      </c>
      <c r="H299" s="9">
        <f t="shared" si="9"/>
        <v>45</v>
      </c>
      <c r="I299" s="9" t="s">
        <v>37</v>
      </c>
      <c r="J299" s="9" t="s">
        <v>36</v>
      </c>
      <c r="K299" s="19">
        <v>43.823</v>
      </c>
      <c r="L299" s="22">
        <v>2.48</v>
      </c>
      <c r="M299" s="22">
        <v>1.9610000000000001</v>
      </c>
      <c r="N299" t="s">
        <v>14</v>
      </c>
    </row>
    <row r="300" spans="1:15" ht="16" x14ac:dyDescent="0.4">
      <c r="A300">
        <v>20</v>
      </c>
      <c r="B300" t="str">
        <f t="shared" si="8"/>
        <v>2023-09-03_0008</v>
      </c>
      <c r="C300" s="8">
        <v>45172</v>
      </c>
      <c r="D300" s="11">
        <v>8</v>
      </c>
      <c r="E300" s="12" t="s">
        <v>11</v>
      </c>
      <c r="F300" s="6">
        <v>45145</v>
      </c>
      <c r="G300" s="9" t="s">
        <v>36</v>
      </c>
      <c r="H300" s="9">
        <f t="shared" si="9"/>
        <v>27</v>
      </c>
      <c r="I300" s="9" t="s">
        <v>18</v>
      </c>
      <c r="J300" s="9" t="s">
        <v>36</v>
      </c>
      <c r="K300" s="19">
        <v>46.121000000000002</v>
      </c>
      <c r="L300" s="22">
        <v>2.4359999999999999</v>
      </c>
      <c r="M300" s="22">
        <v>1.9910000000000001</v>
      </c>
      <c r="N300" t="s">
        <v>14</v>
      </c>
    </row>
    <row r="301" spans="1:15" ht="16" x14ac:dyDescent="0.4">
      <c r="A301">
        <v>20</v>
      </c>
      <c r="B301" t="str">
        <f t="shared" si="8"/>
        <v>2023-09-03_0009</v>
      </c>
      <c r="C301" s="8">
        <v>45172</v>
      </c>
      <c r="D301" s="11">
        <v>9</v>
      </c>
      <c r="E301" s="12" t="s">
        <v>15</v>
      </c>
      <c r="F301" s="6">
        <v>45156</v>
      </c>
      <c r="G301" s="9" t="s">
        <v>36</v>
      </c>
      <c r="H301" s="9">
        <f t="shared" si="9"/>
        <v>16</v>
      </c>
      <c r="I301" s="9" t="s">
        <v>38</v>
      </c>
      <c r="J301" s="9" t="s">
        <v>36</v>
      </c>
      <c r="K301" s="19">
        <v>45.942</v>
      </c>
      <c r="L301" s="22">
        <v>2.3969999999999998</v>
      </c>
      <c r="M301" s="22">
        <v>1.9830000000000001</v>
      </c>
      <c r="N301" t="s">
        <v>14</v>
      </c>
    </row>
    <row r="302" spans="1:15" ht="16" x14ac:dyDescent="0.4">
      <c r="A302">
        <v>20</v>
      </c>
      <c r="B302" t="str">
        <f t="shared" si="8"/>
        <v>2023-09-03_0010</v>
      </c>
      <c r="C302" s="8">
        <v>45172</v>
      </c>
      <c r="D302" s="11">
        <v>10</v>
      </c>
      <c r="E302" s="12" t="s">
        <v>11</v>
      </c>
      <c r="F302" s="6">
        <v>45155</v>
      </c>
      <c r="G302" s="9" t="s">
        <v>39</v>
      </c>
      <c r="H302" s="9">
        <f t="shared" si="9"/>
        <v>17</v>
      </c>
      <c r="I302" s="9" t="s">
        <v>37</v>
      </c>
      <c r="J302" s="9" t="s">
        <v>36</v>
      </c>
      <c r="K302" s="19">
        <v>44.534999999999997</v>
      </c>
      <c r="L302" s="22">
        <v>2.3650000000000002</v>
      </c>
      <c r="M302" s="22">
        <v>2.0499999999999998</v>
      </c>
      <c r="N302" t="s">
        <v>14</v>
      </c>
      <c r="O302" t="s">
        <v>72</v>
      </c>
    </row>
    <row r="303" spans="1:15" ht="16" x14ac:dyDescent="0.4">
      <c r="A303">
        <v>20</v>
      </c>
      <c r="B303" t="str">
        <f t="shared" si="8"/>
        <v>2023-09-03_0011</v>
      </c>
      <c r="C303" s="8">
        <v>45172</v>
      </c>
      <c r="D303" s="11">
        <v>11</v>
      </c>
      <c r="E303" s="12" t="s">
        <v>15</v>
      </c>
      <c r="F303" s="6">
        <v>45141</v>
      </c>
      <c r="G303" s="9" t="s">
        <v>36</v>
      </c>
      <c r="H303" s="9">
        <f t="shared" si="9"/>
        <v>31</v>
      </c>
      <c r="I303" s="9" t="s">
        <v>12</v>
      </c>
      <c r="J303" s="9" t="s">
        <v>36</v>
      </c>
      <c r="K303" s="19">
        <v>43.363999999999997</v>
      </c>
      <c r="L303" s="22">
        <v>2.3809999999999998</v>
      </c>
      <c r="M303" s="22">
        <v>2.0009999999999999</v>
      </c>
      <c r="N303" t="s">
        <v>14</v>
      </c>
    </row>
    <row r="304" spans="1:15" ht="16" x14ac:dyDescent="0.4">
      <c r="A304">
        <v>20</v>
      </c>
      <c r="B304" t="str">
        <f t="shared" si="8"/>
        <v>2023-09-03_0012</v>
      </c>
      <c r="C304" s="8">
        <v>45172</v>
      </c>
      <c r="D304" s="11">
        <v>12</v>
      </c>
      <c r="E304" s="12" t="s">
        <v>11</v>
      </c>
      <c r="F304" s="6">
        <v>45141</v>
      </c>
      <c r="G304" s="9" t="s">
        <v>36</v>
      </c>
      <c r="H304" s="9">
        <f t="shared" si="9"/>
        <v>31</v>
      </c>
      <c r="I304" s="9" t="s">
        <v>38</v>
      </c>
      <c r="J304" s="9" t="s">
        <v>36</v>
      </c>
      <c r="K304" s="19">
        <v>44.774999999999999</v>
      </c>
      <c r="L304" s="22">
        <v>2.4750000000000001</v>
      </c>
      <c r="M304" s="22">
        <v>2.0150000000000001</v>
      </c>
      <c r="N304" t="s">
        <v>14</v>
      </c>
    </row>
    <row r="305" spans="1:15" ht="16" x14ac:dyDescent="0.4">
      <c r="A305">
        <v>20</v>
      </c>
      <c r="B305" t="str">
        <f t="shared" si="8"/>
        <v>2023-09-03_0013</v>
      </c>
      <c r="C305" s="8">
        <v>45172</v>
      </c>
      <c r="D305" s="11">
        <v>13</v>
      </c>
      <c r="E305" s="12" t="s">
        <v>11</v>
      </c>
      <c r="F305" s="6">
        <v>45154</v>
      </c>
      <c r="G305" s="9" t="s">
        <v>36</v>
      </c>
      <c r="H305" s="9">
        <f t="shared" si="9"/>
        <v>18</v>
      </c>
      <c r="I305" s="9" t="s">
        <v>18</v>
      </c>
      <c r="J305" s="9" t="s">
        <v>39</v>
      </c>
      <c r="K305" s="19">
        <v>43.542999999999999</v>
      </c>
      <c r="L305" s="22">
        <v>2.4569999999999999</v>
      </c>
      <c r="M305" s="22">
        <v>1.96</v>
      </c>
      <c r="N305" t="s">
        <v>14</v>
      </c>
      <c r="O305" t="s">
        <v>73</v>
      </c>
    </row>
    <row r="306" spans="1:15" ht="16" x14ac:dyDescent="0.4">
      <c r="A306">
        <v>20</v>
      </c>
      <c r="B306" t="str">
        <f t="shared" si="8"/>
        <v>2023-09-03_0014</v>
      </c>
      <c r="C306" s="8">
        <v>45172</v>
      </c>
      <c r="D306" s="11">
        <v>14</v>
      </c>
      <c r="E306" s="12" t="s">
        <v>15</v>
      </c>
      <c r="F306" s="6">
        <v>45136</v>
      </c>
      <c r="G306" s="9" t="s">
        <v>36</v>
      </c>
      <c r="H306" s="9">
        <f t="shared" si="9"/>
        <v>36</v>
      </c>
      <c r="I306" s="9" t="s">
        <v>37</v>
      </c>
      <c r="J306" s="9" t="s">
        <v>36</v>
      </c>
      <c r="K306" s="19">
        <v>45.508000000000003</v>
      </c>
      <c r="L306" s="22">
        <v>2.4430000000000001</v>
      </c>
      <c r="M306" s="22">
        <v>1.97</v>
      </c>
      <c r="N306" t="s">
        <v>14</v>
      </c>
    </row>
    <row r="307" spans="1:15" ht="16" x14ac:dyDescent="0.4">
      <c r="A307">
        <v>20</v>
      </c>
      <c r="B307" t="str">
        <f t="shared" si="8"/>
        <v>2023-09-03_0015</v>
      </c>
      <c r="C307" s="8">
        <v>45172</v>
      </c>
      <c r="D307" s="11">
        <v>15</v>
      </c>
      <c r="E307" s="12" t="s">
        <v>15</v>
      </c>
      <c r="F307" s="6">
        <v>45125</v>
      </c>
      <c r="G307" s="9" t="s">
        <v>36</v>
      </c>
      <c r="H307" s="9">
        <f t="shared" si="9"/>
        <v>47</v>
      </c>
      <c r="I307" s="9" t="s">
        <v>38</v>
      </c>
      <c r="J307" s="9" t="s">
        <v>36</v>
      </c>
      <c r="K307" s="19">
        <v>45.78</v>
      </c>
      <c r="L307" s="22">
        <v>2.7069999999999999</v>
      </c>
      <c r="M307" s="22">
        <v>2.141</v>
      </c>
      <c r="N307" t="s">
        <v>14</v>
      </c>
      <c r="O307" t="s">
        <v>42</v>
      </c>
    </row>
    <row r="308" spans="1:15" ht="16" x14ac:dyDescent="0.4">
      <c r="A308">
        <v>20</v>
      </c>
      <c r="B308" t="str">
        <f t="shared" si="8"/>
        <v>2023-09-03_0016</v>
      </c>
      <c r="C308" s="8">
        <v>45172</v>
      </c>
      <c r="D308" s="11">
        <v>16</v>
      </c>
      <c r="E308" s="12" t="s">
        <v>15</v>
      </c>
      <c r="F308" s="6">
        <v>45145</v>
      </c>
      <c r="G308" s="9" t="s">
        <v>39</v>
      </c>
      <c r="H308" s="9">
        <f t="shared" si="9"/>
        <v>27</v>
      </c>
      <c r="I308" s="9" t="s">
        <v>18</v>
      </c>
      <c r="J308" s="9" t="s">
        <v>36</v>
      </c>
      <c r="K308" s="19">
        <v>44.895000000000003</v>
      </c>
      <c r="L308" s="22">
        <v>2.427</v>
      </c>
      <c r="M308" s="22">
        <v>2.1150000000000002</v>
      </c>
      <c r="N308" t="s">
        <v>14</v>
      </c>
    </row>
    <row r="309" spans="1:15" ht="16" x14ac:dyDescent="0.4">
      <c r="A309">
        <v>20</v>
      </c>
      <c r="B309" t="str">
        <f t="shared" si="8"/>
        <v>2023-09-03_0017</v>
      </c>
      <c r="C309" s="8">
        <v>45172</v>
      </c>
      <c r="D309" s="11">
        <v>17</v>
      </c>
      <c r="E309" s="12" t="s">
        <v>11</v>
      </c>
      <c r="F309" s="6" t="s">
        <v>21</v>
      </c>
      <c r="G309" s="9" t="s">
        <v>21</v>
      </c>
      <c r="H309" s="9" t="str">
        <f t="shared" si="9"/>
        <v>NA</v>
      </c>
      <c r="I309" s="9" t="s">
        <v>12</v>
      </c>
      <c r="J309" s="9" t="s">
        <v>36</v>
      </c>
      <c r="K309" s="19">
        <v>42.445999999999998</v>
      </c>
      <c r="L309" s="22">
        <v>2.5209999999999999</v>
      </c>
      <c r="M309" s="22">
        <v>2.0840000000000001</v>
      </c>
      <c r="N309" t="s">
        <v>14</v>
      </c>
      <c r="O309" t="s">
        <v>74</v>
      </c>
    </row>
    <row r="310" spans="1:15" ht="16" x14ac:dyDescent="0.4">
      <c r="A310">
        <v>20</v>
      </c>
      <c r="B310" t="str">
        <f t="shared" si="8"/>
        <v>2023-09-03_0018</v>
      </c>
      <c r="C310" s="8">
        <v>45172</v>
      </c>
      <c r="D310" s="11">
        <v>18</v>
      </c>
      <c r="E310" s="12" t="s">
        <v>15</v>
      </c>
      <c r="F310" s="6">
        <v>45166</v>
      </c>
      <c r="G310" s="9" t="s">
        <v>39</v>
      </c>
      <c r="H310" s="9">
        <f t="shared" si="9"/>
        <v>6</v>
      </c>
      <c r="I310" s="9" t="s">
        <v>18</v>
      </c>
      <c r="J310" s="9" t="s">
        <v>39</v>
      </c>
      <c r="K310" s="19">
        <v>42.093000000000004</v>
      </c>
      <c r="L310" s="22">
        <v>2.1320000000000001</v>
      </c>
      <c r="M310" s="22">
        <v>1.8660000000000001</v>
      </c>
      <c r="N310" t="s">
        <v>14</v>
      </c>
      <c r="O310" t="s">
        <v>56</v>
      </c>
    </row>
    <row r="311" spans="1:15" ht="16" x14ac:dyDescent="0.4">
      <c r="A311">
        <v>20</v>
      </c>
      <c r="B311" t="str">
        <f t="shared" si="8"/>
        <v>2023-09-03_0019</v>
      </c>
      <c r="C311" s="8">
        <v>45172</v>
      </c>
      <c r="D311" s="11">
        <v>19</v>
      </c>
      <c r="E311" s="12" t="s">
        <v>11</v>
      </c>
      <c r="F311" s="6">
        <v>45157</v>
      </c>
      <c r="G311" s="9" t="s">
        <v>39</v>
      </c>
      <c r="H311" s="9">
        <f t="shared" si="9"/>
        <v>15</v>
      </c>
      <c r="I311" s="9" t="s">
        <v>12</v>
      </c>
      <c r="J311" s="9" t="s">
        <v>36</v>
      </c>
      <c r="K311" s="19" t="s">
        <v>21</v>
      </c>
      <c r="L311" s="22">
        <v>2.472</v>
      </c>
      <c r="M311" s="22">
        <v>2.0990000000000002</v>
      </c>
      <c r="N311" t="s">
        <v>16</v>
      </c>
      <c r="O311" t="s">
        <v>75</v>
      </c>
    </row>
    <row r="312" spans="1:15" ht="16" x14ac:dyDescent="0.4">
      <c r="A312">
        <v>20</v>
      </c>
      <c r="B312" t="str">
        <f t="shared" si="8"/>
        <v>2023-09-03_0020</v>
      </c>
      <c r="C312" s="8">
        <v>45172</v>
      </c>
      <c r="D312" s="11">
        <v>20</v>
      </c>
      <c r="E312" s="12" t="s">
        <v>76</v>
      </c>
      <c r="F312" s="6">
        <v>45141</v>
      </c>
      <c r="G312" s="9" t="s">
        <v>36</v>
      </c>
      <c r="H312" s="9">
        <f t="shared" si="9"/>
        <v>31</v>
      </c>
      <c r="I312" s="9" t="s">
        <v>12</v>
      </c>
      <c r="J312" s="9" t="s">
        <v>36</v>
      </c>
      <c r="K312" s="19">
        <v>47.215000000000003</v>
      </c>
      <c r="L312" s="22">
        <v>2.5830000000000002</v>
      </c>
      <c r="M312" s="22">
        <v>2.1040000000000001</v>
      </c>
      <c r="N312" t="s">
        <v>14</v>
      </c>
    </row>
    <row r="313" spans="1:15" ht="16" x14ac:dyDescent="0.4">
      <c r="A313">
        <v>20</v>
      </c>
      <c r="B313" t="str">
        <f t="shared" si="8"/>
        <v>2023-09-03_0021</v>
      </c>
      <c r="C313" s="8">
        <v>45172</v>
      </c>
      <c r="D313" s="11">
        <v>21</v>
      </c>
      <c r="E313" s="12" t="s">
        <v>11</v>
      </c>
      <c r="F313" s="6">
        <v>45146</v>
      </c>
      <c r="G313" s="9" t="s">
        <v>39</v>
      </c>
      <c r="H313" s="9">
        <f t="shared" si="9"/>
        <v>26</v>
      </c>
      <c r="I313" s="9" t="s">
        <v>12</v>
      </c>
      <c r="J313" s="9" t="s">
        <v>39</v>
      </c>
      <c r="K313" s="19" t="s">
        <v>21</v>
      </c>
      <c r="L313" s="22">
        <v>2.6739999999999999</v>
      </c>
      <c r="M313" s="22">
        <v>2.145</v>
      </c>
      <c r="N313" t="s">
        <v>16</v>
      </c>
      <c r="O313" t="s">
        <v>67</v>
      </c>
    </row>
    <row r="314" spans="1:15" ht="16" x14ac:dyDescent="0.4">
      <c r="A314">
        <v>20</v>
      </c>
      <c r="B314" t="str">
        <f t="shared" si="8"/>
        <v>2023-09-03_0022</v>
      </c>
      <c r="C314" s="8">
        <v>45172</v>
      </c>
      <c r="D314" s="11">
        <v>22</v>
      </c>
      <c r="E314" s="12" t="s">
        <v>11</v>
      </c>
      <c r="F314" s="6">
        <v>45145</v>
      </c>
      <c r="G314" s="9" t="s">
        <v>36</v>
      </c>
      <c r="H314" s="9">
        <f t="shared" si="9"/>
        <v>27</v>
      </c>
      <c r="I314" s="9" t="s">
        <v>12</v>
      </c>
      <c r="J314" s="9" t="s">
        <v>36</v>
      </c>
      <c r="K314" s="19" t="s">
        <v>21</v>
      </c>
      <c r="L314" s="22">
        <v>2.31</v>
      </c>
      <c r="M314" s="22">
        <v>1.772</v>
      </c>
      <c r="N314" t="s">
        <v>16</v>
      </c>
      <c r="O314" t="s">
        <v>48</v>
      </c>
    </row>
    <row r="315" spans="1:15" ht="16" x14ac:dyDescent="0.4">
      <c r="A315">
        <v>20</v>
      </c>
      <c r="B315" t="str">
        <f t="shared" si="8"/>
        <v>2023-09-03_0023</v>
      </c>
      <c r="C315" s="8">
        <v>45172</v>
      </c>
      <c r="D315" s="11">
        <v>23</v>
      </c>
      <c r="E315" s="12" t="s">
        <v>11</v>
      </c>
      <c r="F315" s="6">
        <v>45139</v>
      </c>
      <c r="G315" s="9" t="s">
        <v>36</v>
      </c>
      <c r="H315" s="9">
        <f t="shared" si="9"/>
        <v>33</v>
      </c>
      <c r="I315" s="9" t="s">
        <v>38</v>
      </c>
      <c r="J315" s="9" t="s">
        <v>36</v>
      </c>
      <c r="K315" s="19">
        <v>37.999000000000002</v>
      </c>
      <c r="L315" s="22">
        <v>2.173</v>
      </c>
      <c r="M315" s="22">
        <v>1.734</v>
      </c>
      <c r="N315" t="s">
        <v>14</v>
      </c>
      <c r="O315" t="s">
        <v>77</v>
      </c>
    </row>
    <row r="316" spans="1:15" ht="16" x14ac:dyDescent="0.4">
      <c r="A316">
        <v>20</v>
      </c>
      <c r="B316" t="str">
        <f t="shared" si="8"/>
        <v>2023-09-03_0024</v>
      </c>
      <c r="C316" s="8">
        <v>45172</v>
      </c>
      <c r="D316" s="11">
        <v>24</v>
      </c>
      <c r="E316" s="12" t="s">
        <v>11</v>
      </c>
      <c r="F316" s="6" t="s">
        <v>21</v>
      </c>
      <c r="G316" s="9" t="s">
        <v>21</v>
      </c>
      <c r="H316" s="9" t="str">
        <f t="shared" si="9"/>
        <v>NA</v>
      </c>
      <c r="I316" s="9" t="s">
        <v>37</v>
      </c>
      <c r="J316" s="9" t="s">
        <v>36</v>
      </c>
      <c r="K316" s="19" t="s">
        <v>21</v>
      </c>
      <c r="L316" s="22">
        <v>2.282</v>
      </c>
      <c r="M316" s="22">
        <v>1.8740000000000001</v>
      </c>
      <c r="N316" t="s">
        <v>16</v>
      </c>
      <c r="O316" t="s">
        <v>78</v>
      </c>
    </row>
    <row r="317" spans="1:15" ht="16" x14ac:dyDescent="0.4">
      <c r="A317">
        <v>63</v>
      </c>
      <c r="B317" t="str">
        <f t="shared" si="8"/>
        <v>2023-09-01_0001</v>
      </c>
      <c r="C317" s="8">
        <v>45170</v>
      </c>
      <c r="D317" s="11">
        <v>1</v>
      </c>
      <c r="E317" s="12" t="s">
        <v>15</v>
      </c>
      <c r="F317" s="6">
        <v>45160</v>
      </c>
      <c r="G317" s="9" t="s">
        <v>36</v>
      </c>
      <c r="H317" s="9">
        <f t="shared" si="9"/>
        <v>10</v>
      </c>
      <c r="I317" s="9" t="s">
        <v>37</v>
      </c>
      <c r="J317" s="9" t="s">
        <v>36</v>
      </c>
      <c r="K317" s="22">
        <v>45.682000000000002</v>
      </c>
      <c r="L317" s="22">
        <v>2.5680000000000001</v>
      </c>
      <c r="M317" s="22">
        <v>2.0310000000000001</v>
      </c>
      <c r="N317" t="s">
        <v>14</v>
      </c>
    </row>
    <row r="318" spans="1:15" ht="16" x14ac:dyDescent="0.4">
      <c r="A318">
        <v>63</v>
      </c>
      <c r="B318" t="str">
        <f t="shared" si="8"/>
        <v>2023-09-01_0002</v>
      </c>
      <c r="C318" s="8">
        <v>45170</v>
      </c>
      <c r="D318" s="11">
        <v>2</v>
      </c>
      <c r="E318" s="12" t="s">
        <v>15</v>
      </c>
      <c r="F318" s="6">
        <v>45150</v>
      </c>
      <c r="G318" s="9" t="s">
        <v>36</v>
      </c>
      <c r="H318" s="9">
        <f t="shared" si="9"/>
        <v>20</v>
      </c>
      <c r="I318" s="9" t="s">
        <v>12</v>
      </c>
      <c r="J318" s="9" t="s">
        <v>36</v>
      </c>
      <c r="K318" s="22">
        <v>51.491999999999997</v>
      </c>
      <c r="L318" s="22">
        <v>2.6659999999999999</v>
      </c>
      <c r="M318" s="22">
        <v>2.323</v>
      </c>
      <c r="N318" t="s">
        <v>14</v>
      </c>
      <c r="O318" t="s">
        <v>42</v>
      </c>
    </row>
    <row r="319" spans="1:15" ht="16" x14ac:dyDescent="0.4">
      <c r="A319">
        <v>63</v>
      </c>
      <c r="B319" t="str">
        <f t="shared" si="8"/>
        <v>2023-09-01_0003</v>
      </c>
      <c r="C319" s="8">
        <v>45170</v>
      </c>
      <c r="D319" s="11">
        <v>3</v>
      </c>
      <c r="E319" s="12" t="s">
        <v>11</v>
      </c>
      <c r="F319" s="6">
        <v>45133</v>
      </c>
      <c r="G319" s="9" t="s">
        <v>36</v>
      </c>
      <c r="H319" s="9">
        <f t="shared" si="9"/>
        <v>37</v>
      </c>
      <c r="I319" s="9" t="s">
        <v>38</v>
      </c>
      <c r="J319" s="9" t="s">
        <v>36</v>
      </c>
      <c r="K319" s="22">
        <v>49.247</v>
      </c>
      <c r="L319" s="22">
        <v>2.8940000000000001</v>
      </c>
      <c r="M319" s="22">
        <v>2.2149999999999999</v>
      </c>
      <c r="N319" t="s">
        <v>14</v>
      </c>
    </row>
    <row r="320" spans="1:15" ht="16" x14ac:dyDescent="0.4">
      <c r="A320">
        <v>63</v>
      </c>
      <c r="B320" t="str">
        <f t="shared" si="8"/>
        <v>2023-09-01_0004</v>
      </c>
      <c r="C320" s="8">
        <v>45170</v>
      </c>
      <c r="D320" s="11">
        <v>4</v>
      </c>
      <c r="E320" s="12" t="s">
        <v>11</v>
      </c>
      <c r="F320" s="6">
        <v>45147</v>
      </c>
      <c r="G320" s="9" t="s">
        <v>36</v>
      </c>
      <c r="H320" s="9">
        <f t="shared" si="9"/>
        <v>23</v>
      </c>
      <c r="I320" s="9" t="s">
        <v>12</v>
      </c>
      <c r="J320" s="9" t="s">
        <v>36</v>
      </c>
      <c r="K320" s="22">
        <v>44.802999999999997</v>
      </c>
      <c r="L320" s="22">
        <v>2.512</v>
      </c>
      <c r="M320" s="22">
        <v>2.1059999999999999</v>
      </c>
      <c r="N320" t="s">
        <v>14</v>
      </c>
      <c r="O320" t="s">
        <v>42</v>
      </c>
    </row>
    <row r="321" spans="1:15" ht="16" x14ac:dyDescent="0.4">
      <c r="A321">
        <v>63</v>
      </c>
      <c r="B321" t="str">
        <f t="shared" si="8"/>
        <v>2023-09-01_0005</v>
      </c>
      <c r="C321" s="8">
        <v>45170</v>
      </c>
      <c r="D321" s="11">
        <v>5</v>
      </c>
      <c r="E321" s="12" t="s">
        <v>21</v>
      </c>
      <c r="F321" s="6">
        <v>45141</v>
      </c>
      <c r="G321" s="9" t="s">
        <v>39</v>
      </c>
      <c r="H321" s="9">
        <f t="shared" si="9"/>
        <v>29</v>
      </c>
      <c r="I321" s="9" t="s">
        <v>38</v>
      </c>
      <c r="J321" s="9" t="s">
        <v>36</v>
      </c>
      <c r="K321" s="22">
        <v>44.319000000000003</v>
      </c>
      <c r="L321" s="22">
        <v>2.2789999999999999</v>
      </c>
      <c r="M321" s="22">
        <v>1.9279999999999999</v>
      </c>
      <c r="N321" t="s">
        <v>14</v>
      </c>
    </row>
    <row r="322" spans="1:15" ht="16" x14ac:dyDescent="0.4">
      <c r="A322">
        <v>64</v>
      </c>
      <c r="B322" t="str">
        <f t="shared" ref="B322:B385" si="10">IF(ISBLANK(C322),NA(),_xlfn.CONCAT(TEXT(C322,"YYYY-MM-DD"),"_",TEXT(D322,"0000")))</f>
        <v>2023-09-01_0006</v>
      </c>
      <c r="C322" s="8">
        <v>45170</v>
      </c>
      <c r="D322" s="11">
        <v>6</v>
      </c>
      <c r="E322" s="12" t="s">
        <v>11</v>
      </c>
      <c r="F322" s="6">
        <v>45150</v>
      </c>
      <c r="G322" s="9" t="s">
        <v>39</v>
      </c>
      <c r="H322" s="9">
        <f t="shared" ref="H322:H385" si="11">IF(F322="NA","NA", DATEDIF(F322,C322,"d"))</f>
        <v>20</v>
      </c>
      <c r="I322" s="9" t="s">
        <v>12</v>
      </c>
      <c r="J322" s="9" t="s">
        <v>36</v>
      </c>
      <c r="K322" s="22">
        <v>51.103999999999999</v>
      </c>
      <c r="L322" s="22">
        <v>2.726</v>
      </c>
      <c r="M322" s="22">
        <v>2.194</v>
      </c>
      <c r="N322" t="s">
        <v>14</v>
      </c>
      <c r="O322" t="s">
        <v>59</v>
      </c>
    </row>
    <row r="323" spans="1:15" ht="16" x14ac:dyDescent="0.4">
      <c r="A323">
        <v>64</v>
      </c>
      <c r="B323" t="str">
        <f t="shared" si="10"/>
        <v>2023-09-01_0007</v>
      </c>
      <c r="C323" s="8">
        <v>45170</v>
      </c>
      <c r="D323" s="11">
        <v>7</v>
      </c>
      <c r="E323" s="12" t="s">
        <v>11</v>
      </c>
      <c r="F323" s="6">
        <v>45123</v>
      </c>
      <c r="G323" s="9" t="s">
        <v>36</v>
      </c>
      <c r="H323" s="9">
        <f t="shared" si="11"/>
        <v>47</v>
      </c>
      <c r="I323" s="9" t="s">
        <v>18</v>
      </c>
      <c r="J323" s="9" t="s">
        <v>36</v>
      </c>
      <c r="K323" s="22">
        <v>46.804000000000002</v>
      </c>
      <c r="L323" s="22">
        <v>2.6890000000000001</v>
      </c>
      <c r="M323" s="22">
        <v>2.286</v>
      </c>
      <c r="N323" t="s">
        <v>16</v>
      </c>
      <c r="O323" t="s">
        <v>48</v>
      </c>
    </row>
    <row r="324" spans="1:15" ht="16" x14ac:dyDescent="0.4">
      <c r="A324">
        <v>64</v>
      </c>
      <c r="B324" t="str">
        <f t="shared" si="10"/>
        <v>2023-09-01_0008</v>
      </c>
      <c r="C324" s="8">
        <v>45170</v>
      </c>
      <c r="D324" s="11">
        <v>8</v>
      </c>
      <c r="E324" s="12" t="s">
        <v>15</v>
      </c>
      <c r="F324" s="6">
        <v>45133</v>
      </c>
      <c r="G324" s="9" t="s">
        <v>36</v>
      </c>
      <c r="H324" s="9">
        <f t="shared" si="11"/>
        <v>37</v>
      </c>
      <c r="I324" s="9" t="s">
        <v>12</v>
      </c>
      <c r="J324" s="9" t="s">
        <v>39</v>
      </c>
      <c r="K324" s="22">
        <v>46.01</v>
      </c>
      <c r="L324" s="22">
        <v>2.7229999999999999</v>
      </c>
      <c r="M324" s="22">
        <v>2.1579999999999999</v>
      </c>
      <c r="N324" t="s">
        <v>16</v>
      </c>
      <c r="O324" t="s">
        <v>51</v>
      </c>
    </row>
    <row r="325" spans="1:15" ht="16" x14ac:dyDescent="0.4">
      <c r="A325">
        <v>64</v>
      </c>
      <c r="B325" t="str">
        <f t="shared" si="10"/>
        <v>2023-09-01_0009</v>
      </c>
      <c r="C325" s="8">
        <v>45170</v>
      </c>
      <c r="D325" s="11">
        <v>9</v>
      </c>
      <c r="E325" s="12" t="s">
        <v>11</v>
      </c>
      <c r="F325" s="6">
        <v>45145</v>
      </c>
      <c r="G325" s="9" t="s">
        <v>36</v>
      </c>
      <c r="H325" s="9">
        <f t="shared" si="11"/>
        <v>25</v>
      </c>
      <c r="I325" s="9" t="s">
        <v>18</v>
      </c>
      <c r="J325" s="9" t="s">
        <v>36</v>
      </c>
      <c r="K325" s="22">
        <v>47.545000000000002</v>
      </c>
      <c r="L325" s="22">
        <v>2.6190000000000002</v>
      </c>
      <c r="M325" s="22">
        <v>2.202</v>
      </c>
      <c r="N325" t="s">
        <v>16</v>
      </c>
      <c r="O325" t="s">
        <v>48</v>
      </c>
    </row>
    <row r="326" spans="1:15" ht="16" x14ac:dyDescent="0.4">
      <c r="A326">
        <v>65</v>
      </c>
      <c r="B326" t="str">
        <f t="shared" si="10"/>
        <v>2023-09-01_0010</v>
      </c>
      <c r="C326" s="8">
        <v>45170</v>
      </c>
      <c r="D326" s="11">
        <v>10</v>
      </c>
      <c r="E326" s="12" t="s">
        <v>15</v>
      </c>
      <c r="F326" s="6">
        <v>45122</v>
      </c>
      <c r="G326" s="9" t="s">
        <v>39</v>
      </c>
      <c r="H326" s="9">
        <f t="shared" si="11"/>
        <v>48</v>
      </c>
      <c r="I326" s="9" t="s">
        <v>38</v>
      </c>
      <c r="J326" s="9" t="s">
        <v>39</v>
      </c>
      <c r="K326" s="22">
        <v>44.798999999999999</v>
      </c>
      <c r="L326" s="22">
        <v>2.5470000000000002</v>
      </c>
      <c r="M326" s="22">
        <v>2.0939999999999999</v>
      </c>
      <c r="N326" t="s">
        <v>16</v>
      </c>
      <c r="O326" t="s">
        <v>67</v>
      </c>
    </row>
    <row r="327" spans="1:15" ht="16" x14ac:dyDescent="0.4">
      <c r="A327">
        <v>61</v>
      </c>
      <c r="B327" t="str">
        <f t="shared" si="10"/>
        <v>2023-08-31_0001</v>
      </c>
      <c r="C327" s="8">
        <v>45169</v>
      </c>
      <c r="D327" s="11">
        <v>1</v>
      </c>
      <c r="E327" s="12" t="s">
        <v>15</v>
      </c>
      <c r="F327" s="6">
        <v>45141</v>
      </c>
      <c r="G327" s="9" t="s">
        <v>36</v>
      </c>
      <c r="H327" s="9">
        <f t="shared" si="11"/>
        <v>28</v>
      </c>
      <c r="I327" s="9" t="s">
        <v>12</v>
      </c>
      <c r="J327" s="9" t="s">
        <v>36</v>
      </c>
      <c r="K327" s="22">
        <v>46.713000000000001</v>
      </c>
      <c r="L327" s="22">
        <v>2.5550000000000002</v>
      </c>
      <c r="M327" s="22">
        <v>2.089</v>
      </c>
      <c r="N327" t="s">
        <v>14</v>
      </c>
    </row>
    <row r="328" spans="1:15" ht="16" x14ac:dyDescent="0.4">
      <c r="A328">
        <v>61</v>
      </c>
      <c r="B328" t="str">
        <f t="shared" si="10"/>
        <v>2023-08-31_0002</v>
      </c>
      <c r="C328" s="8">
        <v>45169</v>
      </c>
      <c r="D328" s="11">
        <v>2</v>
      </c>
      <c r="E328" s="12" t="s">
        <v>11</v>
      </c>
      <c r="F328" s="6">
        <v>45150</v>
      </c>
      <c r="G328" s="9" t="s">
        <v>36</v>
      </c>
      <c r="H328" s="9">
        <f t="shared" si="11"/>
        <v>19</v>
      </c>
      <c r="I328" s="9" t="s">
        <v>12</v>
      </c>
      <c r="J328" s="9" t="s">
        <v>36</v>
      </c>
      <c r="K328" s="22">
        <v>46.866999999999997</v>
      </c>
      <c r="L328" s="22">
        <v>2.6190000000000002</v>
      </c>
      <c r="M328" s="22">
        <v>2.2519999999999998</v>
      </c>
      <c r="N328" t="s">
        <v>14</v>
      </c>
      <c r="O328" t="s">
        <v>42</v>
      </c>
    </row>
    <row r="329" spans="1:15" ht="16" x14ac:dyDescent="0.4">
      <c r="A329">
        <v>61</v>
      </c>
      <c r="B329" t="str">
        <f t="shared" si="10"/>
        <v>2023-08-31_0003</v>
      </c>
      <c r="C329" s="8">
        <v>45169</v>
      </c>
      <c r="D329" s="11">
        <v>3</v>
      </c>
      <c r="E329" s="12" t="s">
        <v>11</v>
      </c>
      <c r="F329" s="6" t="s">
        <v>21</v>
      </c>
      <c r="G329" s="9" t="s">
        <v>21</v>
      </c>
      <c r="H329" s="9" t="str">
        <f t="shared" si="11"/>
        <v>NA</v>
      </c>
      <c r="I329" s="9" t="s">
        <v>18</v>
      </c>
      <c r="J329" s="9" t="s">
        <v>36</v>
      </c>
      <c r="K329" s="22">
        <v>47.043999999999997</v>
      </c>
      <c r="L329" s="22">
        <v>2.7639999999999998</v>
      </c>
      <c r="M329" s="22">
        <v>2.1360000000000001</v>
      </c>
      <c r="N329" t="s">
        <v>14</v>
      </c>
      <c r="O329" t="s">
        <v>79</v>
      </c>
    </row>
    <row r="330" spans="1:15" ht="16" x14ac:dyDescent="0.4">
      <c r="A330">
        <v>61</v>
      </c>
      <c r="B330" t="str">
        <f t="shared" si="10"/>
        <v>2023-08-31_0004</v>
      </c>
      <c r="C330" s="8">
        <v>45169</v>
      </c>
      <c r="D330" s="11">
        <v>4</v>
      </c>
      <c r="E330" s="12" t="s">
        <v>15</v>
      </c>
      <c r="F330" s="6">
        <v>45127</v>
      </c>
      <c r="G330" s="9" t="s">
        <v>39</v>
      </c>
      <c r="H330" s="9">
        <f t="shared" si="11"/>
        <v>42</v>
      </c>
      <c r="I330" s="9" t="s">
        <v>17</v>
      </c>
      <c r="J330" s="9" t="s">
        <v>36</v>
      </c>
      <c r="K330" s="22">
        <v>48.091000000000001</v>
      </c>
      <c r="L330" s="22">
        <v>2.6560000000000001</v>
      </c>
      <c r="M330" s="22">
        <v>2.242</v>
      </c>
      <c r="N330" t="s">
        <v>14</v>
      </c>
      <c r="O330" t="s">
        <v>40</v>
      </c>
    </row>
    <row r="331" spans="1:15" ht="16" x14ac:dyDescent="0.4">
      <c r="A331">
        <v>61</v>
      </c>
      <c r="B331" t="str">
        <f t="shared" si="10"/>
        <v>2023-08-31_0005</v>
      </c>
      <c r="C331" s="8">
        <v>45169</v>
      </c>
      <c r="D331" s="11">
        <v>5</v>
      </c>
      <c r="E331" s="12" t="s">
        <v>15</v>
      </c>
      <c r="F331" s="6">
        <v>45143</v>
      </c>
      <c r="G331" s="9" t="s">
        <v>36</v>
      </c>
      <c r="H331" s="9">
        <f t="shared" si="11"/>
        <v>26</v>
      </c>
      <c r="I331" s="9" t="s">
        <v>12</v>
      </c>
      <c r="J331" s="9" t="s">
        <v>36</v>
      </c>
      <c r="K331" s="22">
        <v>45.801000000000002</v>
      </c>
      <c r="L331" s="22">
        <v>2.3069999999999999</v>
      </c>
      <c r="M331" s="22">
        <v>1.857</v>
      </c>
      <c r="N331" t="s">
        <v>14</v>
      </c>
    </row>
    <row r="332" spans="1:15" ht="16" x14ac:dyDescent="0.4">
      <c r="A332">
        <v>61</v>
      </c>
      <c r="B332" t="str">
        <f t="shared" si="10"/>
        <v>2023-08-31_0006</v>
      </c>
      <c r="C332" s="8">
        <v>45169</v>
      </c>
      <c r="D332" s="11">
        <v>6</v>
      </c>
      <c r="E332" s="12" t="s">
        <v>11</v>
      </c>
      <c r="F332" s="6">
        <v>45157</v>
      </c>
      <c r="G332" s="9" t="s">
        <v>36</v>
      </c>
      <c r="H332" s="9">
        <f t="shared" si="11"/>
        <v>12</v>
      </c>
      <c r="I332" s="9" t="s">
        <v>12</v>
      </c>
      <c r="J332" s="9" t="s">
        <v>36</v>
      </c>
      <c r="K332" s="22">
        <v>48.728999999999999</v>
      </c>
      <c r="L332" s="22">
        <v>2.589</v>
      </c>
      <c r="M332" s="22">
        <v>2.222</v>
      </c>
      <c r="N332" t="s">
        <v>14</v>
      </c>
    </row>
    <row r="333" spans="1:15" ht="16" x14ac:dyDescent="0.4">
      <c r="A333">
        <v>62</v>
      </c>
      <c r="B333" t="str">
        <f t="shared" si="10"/>
        <v>2023-08-31_0007</v>
      </c>
      <c r="C333" s="8">
        <v>45169</v>
      </c>
      <c r="D333" s="11">
        <v>7</v>
      </c>
      <c r="E333" s="12" t="s">
        <v>11</v>
      </c>
      <c r="F333" s="6">
        <v>45126</v>
      </c>
      <c r="G333" s="9" t="s">
        <v>36</v>
      </c>
      <c r="H333" s="9">
        <f t="shared" si="11"/>
        <v>43</v>
      </c>
      <c r="I333" s="9" t="s">
        <v>37</v>
      </c>
      <c r="J333" s="9" t="s">
        <v>36</v>
      </c>
      <c r="K333" s="22">
        <v>48.784999999999997</v>
      </c>
      <c r="L333" s="22">
        <v>2.722</v>
      </c>
      <c r="M333" s="22">
        <v>2.15</v>
      </c>
      <c r="N333" t="s">
        <v>14</v>
      </c>
    </row>
    <row r="334" spans="1:15" ht="16" x14ac:dyDescent="0.4">
      <c r="A334">
        <v>62</v>
      </c>
      <c r="B334" t="str">
        <f t="shared" si="10"/>
        <v>2023-08-31_0008</v>
      </c>
      <c r="C334" s="8">
        <v>45169</v>
      </c>
      <c r="D334" s="11">
        <v>8</v>
      </c>
      <c r="E334" s="12" t="s">
        <v>15</v>
      </c>
      <c r="F334" s="6">
        <v>45145</v>
      </c>
      <c r="G334" s="9" t="s">
        <v>36</v>
      </c>
      <c r="H334" s="9">
        <f t="shared" si="11"/>
        <v>24</v>
      </c>
      <c r="I334" s="9" t="s">
        <v>18</v>
      </c>
      <c r="J334" s="9" t="s">
        <v>36</v>
      </c>
      <c r="K334" s="22">
        <v>46.223999999999997</v>
      </c>
      <c r="L334" s="22">
        <v>2.5489999999999999</v>
      </c>
      <c r="M334" s="22">
        <v>2.0840000000000001</v>
      </c>
      <c r="N334" t="s">
        <v>14</v>
      </c>
    </row>
    <row r="335" spans="1:15" ht="16" x14ac:dyDescent="0.4">
      <c r="A335">
        <v>62</v>
      </c>
      <c r="B335" t="str">
        <f t="shared" si="10"/>
        <v>2023-08-31_0009</v>
      </c>
      <c r="C335" s="8">
        <v>45169</v>
      </c>
      <c r="D335" s="11">
        <v>9</v>
      </c>
      <c r="E335" s="12" t="s">
        <v>11</v>
      </c>
      <c r="F335" s="6">
        <v>45133</v>
      </c>
      <c r="G335" s="9" t="s">
        <v>39</v>
      </c>
      <c r="H335" s="9">
        <f t="shared" si="11"/>
        <v>36</v>
      </c>
      <c r="I335" s="9" t="s">
        <v>38</v>
      </c>
      <c r="J335" s="9" t="s">
        <v>36</v>
      </c>
      <c r="K335" s="22">
        <v>47.485999999999997</v>
      </c>
      <c r="L335" s="22">
        <v>2.7719999999999998</v>
      </c>
      <c r="M335" s="22">
        <v>2.2610000000000001</v>
      </c>
      <c r="N335" t="s">
        <v>14</v>
      </c>
      <c r="O335" t="s">
        <v>59</v>
      </c>
    </row>
    <row r="336" spans="1:15" ht="16" x14ac:dyDescent="0.4">
      <c r="A336">
        <v>62</v>
      </c>
      <c r="B336" t="str">
        <f t="shared" si="10"/>
        <v>2023-08-31_0010</v>
      </c>
      <c r="C336" s="8">
        <v>45169</v>
      </c>
      <c r="D336" s="11">
        <v>10</v>
      </c>
      <c r="E336" s="12" t="s">
        <v>11</v>
      </c>
      <c r="F336" s="6">
        <v>45138</v>
      </c>
      <c r="G336" s="9" t="s">
        <v>36</v>
      </c>
      <c r="H336" s="9">
        <f t="shared" si="11"/>
        <v>31</v>
      </c>
      <c r="I336" s="9" t="s">
        <v>12</v>
      </c>
      <c r="J336" s="9" t="s">
        <v>36</v>
      </c>
      <c r="K336" s="19" t="s">
        <v>21</v>
      </c>
      <c r="L336" s="22">
        <v>2.621</v>
      </c>
      <c r="M336" s="22">
        <v>2.1789999999999998</v>
      </c>
      <c r="N336" t="s">
        <v>16</v>
      </c>
      <c r="O336" t="s">
        <v>48</v>
      </c>
    </row>
    <row r="337" spans="1:15" ht="16" x14ac:dyDescent="0.4">
      <c r="A337">
        <v>62</v>
      </c>
      <c r="B337" t="str">
        <f t="shared" si="10"/>
        <v>2023-08-31_0011</v>
      </c>
      <c r="C337" s="8">
        <v>45169</v>
      </c>
      <c r="D337" s="11">
        <v>11</v>
      </c>
      <c r="E337" s="12" t="s">
        <v>15</v>
      </c>
      <c r="F337" s="6">
        <v>45150</v>
      </c>
      <c r="G337" s="9" t="s">
        <v>36</v>
      </c>
      <c r="H337" s="9">
        <f t="shared" si="11"/>
        <v>19</v>
      </c>
      <c r="I337" s="9" t="s">
        <v>12</v>
      </c>
      <c r="J337" s="9" t="s">
        <v>36</v>
      </c>
      <c r="K337" s="22">
        <v>46.667000000000002</v>
      </c>
      <c r="L337" s="22">
        <v>2.1930000000000001</v>
      </c>
      <c r="M337" s="22">
        <v>1.994</v>
      </c>
      <c r="N337" t="s">
        <v>16</v>
      </c>
      <c r="O337" t="s">
        <v>48</v>
      </c>
    </row>
    <row r="338" spans="1:15" ht="16" x14ac:dyDescent="0.4">
      <c r="A338">
        <v>62</v>
      </c>
      <c r="B338" t="str">
        <f t="shared" si="10"/>
        <v>2023-08-31_0012</v>
      </c>
      <c r="C338" s="8">
        <v>45169</v>
      </c>
      <c r="D338" s="11">
        <v>12</v>
      </c>
      <c r="E338" s="12" t="s">
        <v>15</v>
      </c>
      <c r="F338" s="6">
        <v>45138</v>
      </c>
      <c r="G338" s="9" t="s">
        <v>36</v>
      </c>
      <c r="H338" s="9">
        <f t="shared" si="11"/>
        <v>31</v>
      </c>
      <c r="I338" s="9" t="s">
        <v>12</v>
      </c>
      <c r="J338" s="9" t="s">
        <v>36</v>
      </c>
      <c r="K338" s="22">
        <v>46.862000000000002</v>
      </c>
      <c r="L338" s="22">
        <v>2.3780000000000001</v>
      </c>
      <c r="M338" s="22">
        <v>2.149</v>
      </c>
      <c r="N338" t="s">
        <v>14</v>
      </c>
    </row>
    <row r="339" spans="1:15" ht="16" x14ac:dyDescent="0.4">
      <c r="A339">
        <v>62</v>
      </c>
      <c r="B339" t="str">
        <f t="shared" si="10"/>
        <v>2023-08-31_0013</v>
      </c>
      <c r="C339" s="8">
        <v>45169</v>
      </c>
      <c r="D339" s="11">
        <v>13</v>
      </c>
      <c r="E339" s="12" t="s">
        <v>11</v>
      </c>
      <c r="F339" s="6">
        <v>45138</v>
      </c>
      <c r="G339" s="9" t="s">
        <v>36</v>
      </c>
      <c r="H339" s="9">
        <f t="shared" si="11"/>
        <v>31</v>
      </c>
      <c r="I339" s="9" t="s">
        <v>12</v>
      </c>
      <c r="J339" s="9" t="s">
        <v>36</v>
      </c>
      <c r="K339" s="19" t="s">
        <v>21</v>
      </c>
      <c r="L339" s="22">
        <v>2.601</v>
      </c>
      <c r="M339" s="22">
        <v>2.1139999999999999</v>
      </c>
      <c r="N339" t="s">
        <v>16</v>
      </c>
      <c r="O339" t="s">
        <v>48</v>
      </c>
    </row>
    <row r="340" spans="1:15" ht="16" x14ac:dyDescent="0.4">
      <c r="A340">
        <v>62</v>
      </c>
      <c r="B340" t="str">
        <f t="shared" si="10"/>
        <v>2023-08-31_0014</v>
      </c>
      <c r="C340" s="8">
        <v>45169</v>
      </c>
      <c r="D340" s="11">
        <v>14</v>
      </c>
      <c r="E340" s="12" t="s">
        <v>11</v>
      </c>
      <c r="F340" s="6">
        <v>45136</v>
      </c>
      <c r="G340" s="9" t="s">
        <v>36</v>
      </c>
      <c r="H340" s="9">
        <f t="shared" si="11"/>
        <v>33</v>
      </c>
      <c r="I340" s="9" t="s">
        <v>12</v>
      </c>
      <c r="J340" s="9" t="s">
        <v>36</v>
      </c>
      <c r="K340" s="22">
        <v>47.753999999999998</v>
      </c>
      <c r="L340" s="22">
        <v>2.754</v>
      </c>
      <c r="M340" s="22">
        <v>2.2639999999999998</v>
      </c>
      <c r="N340" t="s">
        <v>14</v>
      </c>
      <c r="O340" t="s">
        <v>42</v>
      </c>
    </row>
    <row r="341" spans="1:15" ht="16" x14ac:dyDescent="0.4">
      <c r="A341">
        <v>62</v>
      </c>
      <c r="B341" t="str">
        <f t="shared" si="10"/>
        <v>2023-08-31_0015</v>
      </c>
      <c r="C341" s="8">
        <v>45169</v>
      </c>
      <c r="D341" s="11">
        <v>15</v>
      </c>
      <c r="E341" s="12" t="s">
        <v>11</v>
      </c>
      <c r="F341" s="6">
        <v>45131</v>
      </c>
      <c r="G341" s="9" t="s">
        <v>36</v>
      </c>
      <c r="H341" s="9">
        <f t="shared" si="11"/>
        <v>38</v>
      </c>
      <c r="I341" s="9" t="s">
        <v>12</v>
      </c>
      <c r="J341" s="9" t="s">
        <v>36</v>
      </c>
      <c r="K341" s="19" t="s">
        <v>21</v>
      </c>
      <c r="L341" s="22">
        <v>2.6520000000000001</v>
      </c>
      <c r="M341" s="22">
        <v>2.2160000000000002</v>
      </c>
      <c r="N341" t="s">
        <v>16</v>
      </c>
      <c r="O341" t="s">
        <v>48</v>
      </c>
    </row>
    <row r="342" spans="1:15" ht="16" x14ac:dyDescent="0.4">
      <c r="A342">
        <v>62</v>
      </c>
      <c r="B342" t="str">
        <f t="shared" si="10"/>
        <v>2023-08-31_0016</v>
      </c>
      <c r="C342" s="8">
        <v>45169</v>
      </c>
      <c r="D342" s="11">
        <v>16</v>
      </c>
      <c r="E342" s="12" t="s">
        <v>11</v>
      </c>
      <c r="F342" s="6">
        <v>45138</v>
      </c>
      <c r="G342" s="9" t="s">
        <v>36</v>
      </c>
      <c r="H342" s="9">
        <f t="shared" si="11"/>
        <v>31</v>
      </c>
      <c r="I342" s="9" t="s">
        <v>12</v>
      </c>
      <c r="J342" s="9" t="s">
        <v>36</v>
      </c>
      <c r="K342" s="19" t="s">
        <v>21</v>
      </c>
      <c r="L342" s="22">
        <v>2.8090000000000002</v>
      </c>
      <c r="M342" s="22">
        <v>2.169</v>
      </c>
      <c r="N342" t="s">
        <v>16</v>
      </c>
      <c r="O342" t="s">
        <v>48</v>
      </c>
    </row>
    <row r="343" spans="1:15" ht="16" x14ac:dyDescent="0.4">
      <c r="A343">
        <v>61</v>
      </c>
      <c r="B343" t="str">
        <f t="shared" si="10"/>
        <v>2023-08-30_0001</v>
      </c>
      <c r="C343" s="8">
        <v>45168</v>
      </c>
      <c r="D343" s="11">
        <v>1</v>
      </c>
      <c r="E343" s="12" t="s">
        <v>11</v>
      </c>
      <c r="F343" s="6">
        <v>45141</v>
      </c>
      <c r="G343" s="9" t="s">
        <v>36</v>
      </c>
      <c r="H343" s="9">
        <f t="shared" si="11"/>
        <v>27</v>
      </c>
      <c r="I343" s="9" t="s">
        <v>18</v>
      </c>
      <c r="J343" s="9" t="s">
        <v>36</v>
      </c>
      <c r="K343" s="22">
        <v>45.54</v>
      </c>
      <c r="L343" s="22">
        <v>2.5270000000000001</v>
      </c>
      <c r="M343" s="22">
        <v>2.073</v>
      </c>
      <c r="N343" t="s">
        <v>14</v>
      </c>
      <c r="O343" t="s">
        <v>42</v>
      </c>
    </row>
    <row r="344" spans="1:15" ht="16" x14ac:dyDescent="0.4">
      <c r="A344">
        <v>61</v>
      </c>
      <c r="B344" t="str">
        <f t="shared" si="10"/>
        <v>2023-08-30_0002</v>
      </c>
      <c r="C344" s="8">
        <v>45168</v>
      </c>
      <c r="D344" s="11">
        <v>2</v>
      </c>
      <c r="E344" s="12" t="s">
        <v>11</v>
      </c>
      <c r="F344" s="6">
        <v>45141</v>
      </c>
      <c r="G344" s="9" t="s">
        <v>36</v>
      </c>
      <c r="H344" s="9">
        <f t="shared" si="11"/>
        <v>27</v>
      </c>
      <c r="I344" s="9" t="s">
        <v>38</v>
      </c>
      <c r="J344" s="9" t="s">
        <v>36</v>
      </c>
      <c r="K344" s="22">
        <v>46.52</v>
      </c>
      <c r="L344" s="22">
        <v>2.8220000000000001</v>
      </c>
      <c r="M344" s="22">
        <v>2.214</v>
      </c>
      <c r="N344" t="s">
        <v>14</v>
      </c>
      <c r="O344" t="s">
        <v>42</v>
      </c>
    </row>
    <row r="345" spans="1:15" ht="16" x14ac:dyDescent="0.4">
      <c r="A345">
        <v>61</v>
      </c>
      <c r="B345" t="str">
        <f t="shared" si="10"/>
        <v>2023-08-30_0003</v>
      </c>
      <c r="C345" s="8">
        <v>45168</v>
      </c>
      <c r="D345" s="11">
        <v>3</v>
      </c>
      <c r="E345" s="12" t="s">
        <v>15</v>
      </c>
      <c r="F345" s="6">
        <v>45143</v>
      </c>
      <c r="G345" s="9" t="s">
        <v>36</v>
      </c>
      <c r="H345" s="9">
        <f t="shared" si="11"/>
        <v>25</v>
      </c>
      <c r="I345" s="9" t="s">
        <v>18</v>
      </c>
      <c r="J345" s="9" t="s">
        <v>36</v>
      </c>
      <c r="K345" s="22">
        <v>52.186999999999998</v>
      </c>
      <c r="L345" s="22">
        <v>2.6230000000000002</v>
      </c>
      <c r="M345" s="22">
        <v>2.2229999999999999</v>
      </c>
      <c r="N345" t="s">
        <v>14</v>
      </c>
    </row>
    <row r="346" spans="1:15" ht="16" x14ac:dyDescent="0.4">
      <c r="A346">
        <v>61</v>
      </c>
      <c r="B346" t="str">
        <f t="shared" si="10"/>
        <v>2023-08-30_0004</v>
      </c>
      <c r="C346" s="8">
        <v>45168</v>
      </c>
      <c r="D346" s="11">
        <v>4</v>
      </c>
      <c r="E346" s="12" t="s">
        <v>11</v>
      </c>
      <c r="F346" s="6">
        <v>45122</v>
      </c>
      <c r="G346" s="9" t="s">
        <v>36</v>
      </c>
      <c r="H346" s="9">
        <f t="shared" si="11"/>
        <v>46</v>
      </c>
      <c r="I346" s="9" t="s">
        <v>38</v>
      </c>
      <c r="J346" s="9" t="s">
        <v>36</v>
      </c>
      <c r="K346" s="22">
        <v>50.503</v>
      </c>
      <c r="L346" s="22">
        <v>2.7330000000000001</v>
      </c>
      <c r="M346" s="22">
        <v>2.1549999999999998</v>
      </c>
      <c r="N346" t="s">
        <v>14</v>
      </c>
      <c r="O346" t="s">
        <v>42</v>
      </c>
    </row>
    <row r="347" spans="1:15" ht="16" x14ac:dyDescent="0.4">
      <c r="A347">
        <v>61</v>
      </c>
      <c r="B347" t="str">
        <f t="shared" si="10"/>
        <v>2023-08-30_0005</v>
      </c>
      <c r="C347" s="8">
        <v>45168</v>
      </c>
      <c r="D347" s="11">
        <v>5</v>
      </c>
      <c r="E347" s="12" t="s">
        <v>11</v>
      </c>
      <c r="F347" s="6">
        <v>45138</v>
      </c>
      <c r="G347" s="9" t="s">
        <v>36</v>
      </c>
      <c r="H347" s="9">
        <f t="shared" si="11"/>
        <v>30</v>
      </c>
      <c r="I347" s="9" t="s">
        <v>18</v>
      </c>
      <c r="J347" s="9" t="s">
        <v>36</v>
      </c>
      <c r="K347" s="22">
        <v>48.084000000000003</v>
      </c>
      <c r="L347" s="22">
        <v>2.5169999999999999</v>
      </c>
      <c r="M347" s="22">
        <v>2.133</v>
      </c>
      <c r="N347" t="s">
        <v>14</v>
      </c>
      <c r="O347" t="s">
        <v>42</v>
      </c>
    </row>
    <row r="348" spans="1:15" ht="16" x14ac:dyDescent="0.4">
      <c r="A348">
        <v>61</v>
      </c>
      <c r="B348" t="str">
        <f t="shared" si="10"/>
        <v>2023-08-30_0006</v>
      </c>
      <c r="C348" s="8">
        <v>45168</v>
      </c>
      <c r="D348" s="11">
        <v>6</v>
      </c>
      <c r="E348" s="12" t="s">
        <v>15</v>
      </c>
      <c r="F348" s="6">
        <v>45141</v>
      </c>
      <c r="G348" s="9" t="s">
        <v>36</v>
      </c>
      <c r="H348" s="9">
        <f t="shared" si="11"/>
        <v>27</v>
      </c>
      <c r="I348" s="9" t="s">
        <v>18</v>
      </c>
      <c r="J348" s="9" t="s">
        <v>36</v>
      </c>
      <c r="K348" s="22">
        <v>48.002000000000002</v>
      </c>
      <c r="L348" s="22">
        <v>2.5230000000000001</v>
      </c>
      <c r="M348" s="22">
        <v>2.0640000000000001</v>
      </c>
      <c r="N348" t="s">
        <v>14</v>
      </c>
    </row>
    <row r="349" spans="1:15" ht="16" x14ac:dyDescent="0.4">
      <c r="A349">
        <v>61</v>
      </c>
      <c r="B349" t="str">
        <f t="shared" si="10"/>
        <v>2023-08-30_0007</v>
      </c>
      <c r="C349" s="8">
        <v>45168</v>
      </c>
      <c r="D349" s="11">
        <v>7</v>
      </c>
      <c r="E349" s="12" t="s">
        <v>15</v>
      </c>
      <c r="F349" s="6">
        <v>45143</v>
      </c>
      <c r="G349" s="9" t="s">
        <v>36</v>
      </c>
      <c r="H349" s="9">
        <f t="shared" si="11"/>
        <v>25</v>
      </c>
      <c r="I349" s="9" t="s">
        <v>38</v>
      </c>
      <c r="J349" s="9" t="s">
        <v>36</v>
      </c>
      <c r="K349" s="22">
        <v>47.49</v>
      </c>
      <c r="L349" s="22">
        <v>2.448</v>
      </c>
      <c r="M349" s="22">
        <v>2.0409999999999999</v>
      </c>
      <c r="N349" t="s">
        <v>14</v>
      </c>
    </row>
    <row r="350" spans="1:15" ht="16" x14ac:dyDescent="0.4">
      <c r="A350">
        <v>61</v>
      </c>
      <c r="B350" t="str">
        <f t="shared" si="10"/>
        <v>2023-08-30_0008</v>
      </c>
      <c r="C350" s="8">
        <v>45168</v>
      </c>
      <c r="D350" s="11">
        <v>8</v>
      </c>
      <c r="E350" s="12" t="s">
        <v>15</v>
      </c>
      <c r="F350" s="6">
        <v>45139</v>
      </c>
      <c r="G350" s="9" t="s">
        <v>36</v>
      </c>
      <c r="H350" s="9">
        <f t="shared" si="11"/>
        <v>29</v>
      </c>
      <c r="I350" s="9" t="s">
        <v>38</v>
      </c>
      <c r="J350" s="9" t="s">
        <v>36</v>
      </c>
      <c r="K350" s="22">
        <v>51.024999999999999</v>
      </c>
      <c r="L350" s="22">
        <v>2.6459999999999999</v>
      </c>
      <c r="M350" s="22">
        <v>2.2040000000000002</v>
      </c>
      <c r="N350" t="s">
        <v>14</v>
      </c>
      <c r="O350" t="s">
        <v>42</v>
      </c>
    </row>
    <row r="351" spans="1:15" ht="16" x14ac:dyDescent="0.4">
      <c r="A351">
        <v>61</v>
      </c>
      <c r="B351" t="str">
        <f t="shared" si="10"/>
        <v>2023-08-30_0009</v>
      </c>
      <c r="C351" s="8">
        <v>45168</v>
      </c>
      <c r="D351" s="11">
        <v>9</v>
      </c>
      <c r="E351" s="12" t="s">
        <v>15</v>
      </c>
      <c r="F351" s="6">
        <v>45141</v>
      </c>
      <c r="G351" s="9" t="s">
        <v>36</v>
      </c>
      <c r="H351" s="9">
        <f t="shared" si="11"/>
        <v>27</v>
      </c>
      <c r="I351" s="9" t="s">
        <v>18</v>
      </c>
      <c r="J351" s="9" t="s">
        <v>36</v>
      </c>
      <c r="K351" s="22">
        <v>47.189</v>
      </c>
      <c r="L351" s="22">
        <v>2.532</v>
      </c>
      <c r="M351" s="22">
        <v>2.09</v>
      </c>
      <c r="N351" t="s">
        <v>16</v>
      </c>
      <c r="O351" t="s">
        <v>48</v>
      </c>
    </row>
    <row r="352" spans="1:15" ht="16" x14ac:dyDescent="0.4">
      <c r="A352">
        <v>61</v>
      </c>
      <c r="B352" t="str">
        <f t="shared" si="10"/>
        <v>2023-08-30_0010</v>
      </c>
      <c r="C352" s="8">
        <v>45168</v>
      </c>
      <c r="D352" s="11">
        <v>10</v>
      </c>
      <c r="E352" s="12" t="s">
        <v>11</v>
      </c>
      <c r="F352" s="6">
        <v>45141</v>
      </c>
      <c r="G352" s="9" t="s">
        <v>36</v>
      </c>
      <c r="H352" s="9">
        <f t="shared" si="11"/>
        <v>27</v>
      </c>
      <c r="I352" s="9" t="s">
        <v>12</v>
      </c>
      <c r="J352" s="9" t="s">
        <v>36</v>
      </c>
      <c r="K352" s="19" t="s">
        <v>21</v>
      </c>
      <c r="L352" s="22">
        <v>2.64</v>
      </c>
      <c r="M352" s="22">
        <v>2.2730000000000001</v>
      </c>
      <c r="N352" t="s">
        <v>16</v>
      </c>
      <c r="O352" t="s">
        <v>63</v>
      </c>
    </row>
    <row r="353" spans="1:15" ht="16" x14ac:dyDescent="0.4">
      <c r="A353">
        <v>61</v>
      </c>
      <c r="B353" t="str">
        <f t="shared" si="10"/>
        <v>2023-08-30_0011</v>
      </c>
      <c r="C353" s="8">
        <v>45168</v>
      </c>
      <c r="D353" s="11">
        <v>11</v>
      </c>
      <c r="E353" s="12" t="s">
        <v>11</v>
      </c>
      <c r="F353" s="6">
        <v>45138</v>
      </c>
      <c r="G353" s="9" t="s">
        <v>36</v>
      </c>
      <c r="H353" s="9">
        <f t="shared" si="11"/>
        <v>30</v>
      </c>
      <c r="I353" s="9" t="s">
        <v>12</v>
      </c>
      <c r="J353" s="9" t="s">
        <v>36</v>
      </c>
      <c r="K353" s="22">
        <v>42.917000000000002</v>
      </c>
      <c r="L353" s="22">
        <v>2.6</v>
      </c>
      <c r="M353" s="22">
        <v>2.1680000000000001</v>
      </c>
      <c r="N353" t="s">
        <v>16</v>
      </c>
      <c r="O353" t="s">
        <v>48</v>
      </c>
    </row>
    <row r="354" spans="1:15" ht="16" x14ac:dyDescent="0.4">
      <c r="A354">
        <v>61</v>
      </c>
      <c r="B354" t="str">
        <f t="shared" si="10"/>
        <v>2023-08-30_0012</v>
      </c>
      <c r="C354" s="8">
        <v>45168</v>
      </c>
      <c r="D354" s="11">
        <v>12</v>
      </c>
      <c r="E354" s="12" t="s">
        <v>11</v>
      </c>
      <c r="F354" s="6">
        <v>45141</v>
      </c>
      <c r="G354" s="9" t="s">
        <v>36</v>
      </c>
      <c r="H354" s="9">
        <f t="shared" si="11"/>
        <v>27</v>
      </c>
      <c r="I354" s="9" t="s">
        <v>12</v>
      </c>
      <c r="J354" s="9" t="s">
        <v>36</v>
      </c>
      <c r="K354" s="19" t="s">
        <v>21</v>
      </c>
      <c r="L354" s="22">
        <v>2.4769999999999999</v>
      </c>
      <c r="M354" s="22">
        <v>2.456</v>
      </c>
      <c r="N354" t="s">
        <v>16</v>
      </c>
      <c r="O354" t="s">
        <v>48</v>
      </c>
    </row>
    <row r="355" spans="1:15" ht="16" x14ac:dyDescent="0.4">
      <c r="A355">
        <v>60</v>
      </c>
      <c r="B355" t="str">
        <f t="shared" si="10"/>
        <v>2023-08-29_0001</v>
      </c>
      <c r="C355" s="8">
        <v>45167</v>
      </c>
      <c r="D355" s="11">
        <v>1</v>
      </c>
      <c r="E355" s="12" t="s">
        <v>11</v>
      </c>
      <c r="F355" s="6">
        <v>45131</v>
      </c>
      <c r="G355" s="9" t="s">
        <v>39</v>
      </c>
      <c r="H355" s="9">
        <f t="shared" si="11"/>
        <v>36</v>
      </c>
      <c r="I355" s="9" t="s">
        <v>18</v>
      </c>
      <c r="J355" s="9" t="s">
        <v>39</v>
      </c>
      <c r="K355" s="22">
        <v>47.192</v>
      </c>
      <c r="L355" s="22">
        <v>2.7160000000000002</v>
      </c>
      <c r="M355" s="22">
        <v>2.1859999999999999</v>
      </c>
      <c r="N355" t="s">
        <v>14</v>
      </c>
      <c r="O355" t="s">
        <v>56</v>
      </c>
    </row>
    <row r="356" spans="1:15" ht="16" x14ac:dyDescent="0.4">
      <c r="A356">
        <v>60</v>
      </c>
      <c r="B356" t="str">
        <f t="shared" si="10"/>
        <v>2023-08-29_0002</v>
      </c>
      <c r="C356" s="8">
        <v>45167</v>
      </c>
      <c r="D356" s="11">
        <v>2</v>
      </c>
      <c r="E356" s="12" t="s">
        <v>11</v>
      </c>
      <c r="F356" s="6">
        <v>45145</v>
      </c>
      <c r="G356" s="9" t="s">
        <v>36</v>
      </c>
      <c r="H356" s="9">
        <f t="shared" si="11"/>
        <v>22</v>
      </c>
      <c r="I356" s="9" t="s">
        <v>18</v>
      </c>
      <c r="J356" s="9" t="s">
        <v>36</v>
      </c>
      <c r="K356" s="22">
        <v>50.814999999999998</v>
      </c>
      <c r="L356" s="22">
        <v>2.81</v>
      </c>
      <c r="M356" s="22">
        <v>2.149</v>
      </c>
      <c r="N356" t="s">
        <v>14</v>
      </c>
    </row>
    <row r="357" spans="1:15" ht="16" x14ac:dyDescent="0.4">
      <c r="A357">
        <v>60</v>
      </c>
      <c r="B357" t="str">
        <f t="shared" si="10"/>
        <v>2023-08-29_0003</v>
      </c>
      <c r="C357" s="8">
        <v>45167</v>
      </c>
      <c r="D357" s="11">
        <v>3</v>
      </c>
      <c r="E357" s="12" t="s">
        <v>11</v>
      </c>
      <c r="F357" s="6">
        <v>45128</v>
      </c>
      <c r="G357" s="9" t="s">
        <v>36</v>
      </c>
      <c r="H357" s="9">
        <f t="shared" si="11"/>
        <v>39</v>
      </c>
      <c r="I357" s="9" t="s">
        <v>17</v>
      </c>
      <c r="J357" s="9" t="s">
        <v>36</v>
      </c>
      <c r="K357" s="22">
        <v>48.576000000000001</v>
      </c>
      <c r="L357" s="22">
        <v>2.6320000000000001</v>
      </c>
      <c r="M357" s="22">
        <v>2.1160000000000001</v>
      </c>
      <c r="N357" t="s">
        <v>14</v>
      </c>
      <c r="O357" t="s">
        <v>42</v>
      </c>
    </row>
    <row r="358" spans="1:15" ht="16" x14ac:dyDescent="0.4">
      <c r="A358">
        <v>60</v>
      </c>
      <c r="B358" t="str">
        <f t="shared" si="10"/>
        <v>2023-08-29_0004</v>
      </c>
      <c r="C358" s="8">
        <v>45167</v>
      </c>
      <c r="D358" s="11">
        <v>4</v>
      </c>
      <c r="E358" s="12" t="s">
        <v>15</v>
      </c>
      <c r="F358" s="6">
        <v>45141</v>
      </c>
      <c r="G358" s="9" t="s">
        <v>36</v>
      </c>
      <c r="H358" s="9">
        <f t="shared" si="11"/>
        <v>26</v>
      </c>
      <c r="I358" s="9" t="s">
        <v>12</v>
      </c>
      <c r="J358" s="9" t="s">
        <v>36</v>
      </c>
      <c r="K358" s="22">
        <v>49.122999999999998</v>
      </c>
      <c r="L358" s="22">
        <v>2.5350000000000001</v>
      </c>
      <c r="M358" s="22">
        <v>2.0630000000000002</v>
      </c>
      <c r="N358" t="s">
        <v>14</v>
      </c>
    </row>
    <row r="359" spans="1:15" ht="16" x14ac:dyDescent="0.4">
      <c r="A359">
        <v>60</v>
      </c>
      <c r="B359" t="str">
        <f t="shared" si="10"/>
        <v>2023-08-29_0005</v>
      </c>
      <c r="C359" s="8">
        <v>45167</v>
      </c>
      <c r="D359" s="11">
        <v>5</v>
      </c>
      <c r="E359" s="12" t="s">
        <v>15</v>
      </c>
      <c r="F359" s="6">
        <v>45131</v>
      </c>
      <c r="G359" s="9" t="s">
        <v>39</v>
      </c>
      <c r="H359" s="9">
        <f t="shared" si="11"/>
        <v>36</v>
      </c>
      <c r="I359" s="9" t="s">
        <v>37</v>
      </c>
      <c r="J359" s="9" t="s">
        <v>36</v>
      </c>
      <c r="K359" s="22">
        <v>49.447000000000003</v>
      </c>
      <c r="L359" s="22">
        <v>2.6379999999999999</v>
      </c>
      <c r="M359" s="22">
        <v>2.117</v>
      </c>
      <c r="N359" t="s">
        <v>14</v>
      </c>
      <c r="O359" t="s">
        <v>40</v>
      </c>
    </row>
    <row r="360" spans="1:15" ht="16" x14ac:dyDescent="0.4">
      <c r="A360">
        <v>60</v>
      </c>
      <c r="B360" t="str">
        <f t="shared" si="10"/>
        <v>2023-08-29_0006</v>
      </c>
      <c r="C360" s="8">
        <v>45167</v>
      </c>
      <c r="D360" s="11">
        <v>6</v>
      </c>
      <c r="E360" s="12" t="s">
        <v>11</v>
      </c>
      <c r="F360" s="6">
        <v>45143</v>
      </c>
      <c r="G360" s="9" t="s">
        <v>36</v>
      </c>
      <c r="H360" s="9">
        <f t="shared" si="11"/>
        <v>24</v>
      </c>
      <c r="I360" s="9" t="s">
        <v>37</v>
      </c>
      <c r="J360" s="9" t="s">
        <v>36</v>
      </c>
      <c r="K360" s="22">
        <v>47.56</v>
      </c>
      <c r="L360" s="22">
        <v>2.6190000000000002</v>
      </c>
      <c r="M360" s="22">
        <v>2.2949999999999999</v>
      </c>
      <c r="N360" t="s">
        <v>14</v>
      </c>
    </row>
    <row r="361" spans="1:15" ht="16" x14ac:dyDescent="0.4">
      <c r="A361">
        <v>60</v>
      </c>
      <c r="B361" t="str">
        <f t="shared" si="10"/>
        <v>2023-08-29_0007</v>
      </c>
      <c r="C361" s="8">
        <v>45167</v>
      </c>
      <c r="D361" s="11">
        <v>7</v>
      </c>
      <c r="E361" s="12" t="s">
        <v>15</v>
      </c>
      <c r="F361" s="6">
        <v>45143</v>
      </c>
      <c r="G361" s="9" t="s">
        <v>36</v>
      </c>
      <c r="H361" s="9">
        <f t="shared" si="11"/>
        <v>24</v>
      </c>
      <c r="I361" s="9" t="s">
        <v>18</v>
      </c>
      <c r="J361" s="9" t="s">
        <v>36</v>
      </c>
      <c r="K361" s="22">
        <v>46.994999999999997</v>
      </c>
      <c r="L361" s="22">
        <v>2.4830000000000001</v>
      </c>
      <c r="M361" s="22">
        <v>2.0950000000000002</v>
      </c>
      <c r="N361" t="s">
        <v>14</v>
      </c>
    </row>
    <row r="362" spans="1:15" ht="16" x14ac:dyDescent="0.4">
      <c r="A362">
        <v>60</v>
      </c>
      <c r="B362" t="str">
        <f t="shared" si="10"/>
        <v>2023-08-29_0008</v>
      </c>
      <c r="C362" s="8">
        <v>45167</v>
      </c>
      <c r="D362" s="11">
        <v>8</v>
      </c>
      <c r="E362" s="12" t="s">
        <v>15</v>
      </c>
      <c r="F362" s="6">
        <v>45141</v>
      </c>
      <c r="G362" s="9" t="s">
        <v>36</v>
      </c>
      <c r="H362" s="9">
        <f t="shared" si="11"/>
        <v>26</v>
      </c>
      <c r="I362" s="9" t="s">
        <v>18</v>
      </c>
      <c r="J362" s="9" t="s">
        <v>36</v>
      </c>
      <c r="K362" s="22">
        <v>49.429000000000002</v>
      </c>
      <c r="L362" s="22">
        <v>2.7010000000000001</v>
      </c>
      <c r="M362" s="22">
        <v>2.2210000000000001</v>
      </c>
      <c r="N362" t="s">
        <v>14</v>
      </c>
    </row>
    <row r="363" spans="1:15" ht="16" x14ac:dyDescent="0.4">
      <c r="A363">
        <v>60</v>
      </c>
      <c r="B363" t="str">
        <f t="shared" si="10"/>
        <v>2023-08-29_0009</v>
      </c>
      <c r="C363" s="8">
        <v>45167</v>
      </c>
      <c r="D363" s="11">
        <v>9</v>
      </c>
      <c r="E363" s="12" t="s">
        <v>11</v>
      </c>
      <c r="F363" s="6">
        <v>45126</v>
      </c>
      <c r="G363" s="9" t="s">
        <v>39</v>
      </c>
      <c r="H363" s="9">
        <f t="shared" si="11"/>
        <v>41</v>
      </c>
      <c r="I363" s="9" t="s">
        <v>37</v>
      </c>
      <c r="J363" s="9" t="s">
        <v>36</v>
      </c>
      <c r="K363" s="22">
        <v>50.042000000000002</v>
      </c>
      <c r="L363" s="22">
        <v>2.8130000000000002</v>
      </c>
      <c r="M363" s="22">
        <v>2.2589999999999999</v>
      </c>
      <c r="N363" t="s">
        <v>14</v>
      </c>
      <c r="O363" t="s">
        <v>40</v>
      </c>
    </row>
    <row r="364" spans="1:15" ht="16" x14ac:dyDescent="0.4">
      <c r="A364">
        <v>60</v>
      </c>
      <c r="B364" t="str">
        <f t="shared" si="10"/>
        <v>2023-08-29_0010</v>
      </c>
      <c r="C364" s="8">
        <v>45167</v>
      </c>
      <c r="D364" s="11">
        <v>10</v>
      </c>
      <c r="E364" s="12" t="s">
        <v>15</v>
      </c>
      <c r="F364" s="6">
        <v>45138</v>
      </c>
      <c r="G364" s="9" t="s">
        <v>36</v>
      </c>
      <c r="H364" s="9">
        <f t="shared" si="11"/>
        <v>29</v>
      </c>
      <c r="I364" s="9" t="s">
        <v>12</v>
      </c>
      <c r="J364" s="9" t="s">
        <v>36</v>
      </c>
      <c r="K364" s="22">
        <v>49.021000000000001</v>
      </c>
      <c r="L364" s="22">
        <v>2.472</v>
      </c>
      <c r="M364" s="22">
        <v>2.1179999999999999</v>
      </c>
      <c r="N364" t="s">
        <v>14</v>
      </c>
      <c r="O364" t="s">
        <v>42</v>
      </c>
    </row>
    <row r="365" spans="1:15" ht="16" x14ac:dyDescent="0.4">
      <c r="A365">
        <v>55</v>
      </c>
      <c r="B365" t="str">
        <f t="shared" si="10"/>
        <v>2023-08-28_0001</v>
      </c>
      <c r="C365" s="8">
        <v>45166</v>
      </c>
      <c r="D365" s="11">
        <v>1</v>
      </c>
      <c r="E365" s="12" t="s">
        <v>15</v>
      </c>
      <c r="F365" s="6">
        <v>45136</v>
      </c>
      <c r="G365" s="9" t="s">
        <v>36</v>
      </c>
      <c r="H365" s="9">
        <f t="shared" si="11"/>
        <v>30</v>
      </c>
      <c r="I365" s="9" t="s">
        <v>38</v>
      </c>
      <c r="J365" s="9" t="s">
        <v>36</v>
      </c>
      <c r="K365" s="19">
        <v>34.709000000000003</v>
      </c>
      <c r="L365" s="22">
        <v>2.5009999999999999</v>
      </c>
      <c r="M365" s="22">
        <v>2.121</v>
      </c>
      <c r="N365" t="s">
        <v>14</v>
      </c>
    </row>
    <row r="366" spans="1:15" ht="16" x14ac:dyDescent="0.4">
      <c r="A366">
        <v>55</v>
      </c>
      <c r="B366" t="str">
        <f t="shared" si="10"/>
        <v>2023-08-28_0002</v>
      </c>
      <c r="C366" s="8">
        <v>45166</v>
      </c>
      <c r="D366" s="11">
        <v>2</v>
      </c>
      <c r="E366" s="12" t="s">
        <v>11</v>
      </c>
      <c r="F366" s="6">
        <v>45138</v>
      </c>
      <c r="G366" s="9" t="s">
        <v>36</v>
      </c>
      <c r="H366" s="9">
        <f t="shared" si="11"/>
        <v>28</v>
      </c>
      <c r="I366" s="9" t="s">
        <v>37</v>
      </c>
      <c r="J366" s="9" t="s">
        <v>36</v>
      </c>
      <c r="K366" s="19">
        <v>41.929000000000002</v>
      </c>
      <c r="L366" s="22">
        <v>2.6859999999999999</v>
      </c>
      <c r="M366" s="22">
        <v>2.4609999999999999</v>
      </c>
      <c r="N366" t="s">
        <v>14</v>
      </c>
    </row>
    <row r="367" spans="1:15" ht="16" x14ac:dyDescent="0.4">
      <c r="A367">
        <v>55</v>
      </c>
      <c r="B367" t="str">
        <f t="shared" si="10"/>
        <v>2023-08-28_0003</v>
      </c>
      <c r="C367" s="8">
        <v>45166</v>
      </c>
      <c r="D367" s="11">
        <v>3</v>
      </c>
      <c r="E367" s="12" t="s">
        <v>11</v>
      </c>
      <c r="F367" s="6">
        <v>45126</v>
      </c>
      <c r="G367" s="9" t="s">
        <v>36</v>
      </c>
      <c r="H367" s="9">
        <f t="shared" si="11"/>
        <v>40</v>
      </c>
      <c r="I367" s="9" t="s">
        <v>37</v>
      </c>
      <c r="J367" s="9" t="s">
        <v>36</v>
      </c>
      <c r="K367" s="19">
        <v>40.566000000000003</v>
      </c>
      <c r="L367" s="22">
        <v>2.8260000000000001</v>
      </c>
      <c r="M367" s="22">
        <v>2.2679999999999998</v>
      </c>
      <c r="N367" t="s">
        <v>14</v>
      </c>
    </row>
    <row r="368" spans="1:15" ht="16" x14ac:dyDescent="0.4">
      <c r="A368">
        <v>55</v>
      </c>
      <c r="B368" t="str">
        <f t="shared" si="10"/>
        <v>2023-08-28_0004</v>
      </c>
      <c r="C368" s="8">
        <v>45166</v>
      </c>
      <c r="D368" s="11">
        <v>4</v>
      </c>
      <c r="E368" s="12" t="s">
        <v>15</v>
      </c>
      <c r="F368" s="6">
        <v>45141</v>
      </c>
      <c r="G368" s="9" t="s">
        <v>36</v>
      </c>
      <c r="H368" s="9">
        <f t="shared" si="11"/>
        <v>25</v>
      </c>
      <c r="I368" s="9" t="s">
        <v>12</v>
      </c>
      <c r="J368" s="9" t="s">
        <v>36</v>
      </c>
      <c r="K368" s="19">
        <v>48.07</v>
      </c>
      <c r="L368" s="22">
        <v>2.4169999999999998</v>
      </c>
      <c r="M368" s="22">
        <v>2.149</v>
      </c>
      <c r="N368" t="s">
        <v>14</v>
      </c>
    </row>
    <row r="369" spans="1:15" ht="16" x14ac:dyDescent="0.4">
      <c r="A369">
        <v>55</v>
      </c>
      <c r="B369" t="str">
        <f t="shared" si="10"/>
        <v>2023-08-28_0005</v>
      </c>
      <c r="C369" s="8">
        <v>45166</v>
      </c>
      <c r="D369" s="11">
        <v>5</v>
      </c>
      <c r="E369" s="12" t="s">
        <v>15</v>
      </c>
      <c r="F369" s="6">
        <v>45138</v>
      </c>
      <c r="G369" s="9" t="s">
        <v>39</v>
      </c>
      <c r="H369" s="9">
        <f t="shared" si="11"/>
        <v>28</v>
      </c>
      <c r="I369" s="9" t="s">
        <v>18</v>
      </c>
      <c r="J369" s="9" t="s">
        <v>36</v>
      </c>
      <c r="K369" s="19">
        <v>42.012</v>
      </c>
      <c r="L369" s="22">
        <v>2.4129999999999998</v>
      </c>
      <c r="M369" s="22">
        <v>2.181</v>
      </c>
      <c r="N369" t="s">
        <v>14</v>
      </c>
      <c r="O369" t="s">
        <v>40</v>
      </c>
    </row>
    <row r="370" spans="1:15" ht="16" x14ac:dyDescent="0.4">
      <c r="A370">
        <v>55</v>
      </c>
      <c r="B370" t="str">
        <f t="shared" si="10"/>
        <v>2023-08-28_0006</v>
      </c>
      <c r="C370" s="8">
        <v>45166</v>
      </c>
      <c r="D370" s="11">
        <v>6</v>
      </c>
      <c r="E370" s="12" t="s">
        <v>11</v>
      </c>
      <c r="F370" s="6">
        <v>45139</v>
      </c>
      <c r="G370" s="9" t="s">
        <v>36</v>
      </c>
      <c r="H370" s="9">
        <f t="shared" si="11"/>
        <v>27</v>
      </c>
      <c r="I370" s="9" t="s">
        <v>37</v>
      </c>
      <c r="J370" s="9" t="s">
        <v>36</v>
      </c>
      <c r="K370" s="19">
        <v>47.753999999999998</v>
      </c>
      <c r="L370" s="22">
        <v>2.5859999999999999</v>
      </c>
      <c r="M370" s="22">
        <v>1.95</v>
      </c>
      <c r="N370" t="s">
        <v>14</v>
      </c>
    </row>
    <row r="371" spans="1:15" ht="16" x14ac:dyDescent="0.4">
      <c r="A371">
        <v>55</v>
      </c>
      <c r="B371" t="str">
        <f t="shared" si="10"/>
        <v>2023-08-28_0007</v>
      </c>
      <c r="C371" s="8">
        <v>45166</v>
      </c>
      <c r="D371" s="11">
        <v>7</v>
      </c>
      <c r="E371" s="12" t="s">
        <v>11</v>
      </c>
      <c r="F371" s="6">
        <v>45156</v>
      </c>
      <c r="G371" s="9" t="s">
        <v>36</v>
      </c>
      <c r="H371" s="9">
        <f t="shared" si="11"/>
        <v>10</v>
      </c>
      <c r="I371" s="9" t="s">
        <v>37</v>
      </c>
      <c r="J371" s="9" t="s">
        <v>36</v>
      </c>
      <c r="K371" s="19">
        <v>46.682000000000002</v>
      </c>
      <c r="L371" s="22">
        <v>2.6459999999999999</v>
      </c>
      <c r="M371" s="22">
        <v>2.1160000000000001</v>
      </c>
      <c r="N371" t="s">
        <v>14</v>
      </c>
    </row>
    <row r="372" spans="1:15" ht="16" x14ac:dyDescent="0.4">
      <c r="A372">
        <v>56</v>
      </c>
      <c r="B372" t="str">
        <f t="shared" si="10"/>
        <v>2023-08-28_0008</v>
      </c>
      <c r="C372" s="8">
        <v>45166</v>
      </c>
      <c r="D372" s="11">
        <v>8</v>
      </c>
      <c r="E372" s="12" t="s">
        <v>11</v>
      </c>
      <c r="F372" s="6">
        <v>45154</v>
      </c>
      <c r="G372" s="9" t="s">
        <v>36</v>
      </c>
      <c r="H372" s="9">
        <f t="shared" si="11"/>
        <v>12</v>
      </c>
      <c r="I372" s="9" t="s">
        <v>18</v>
      </c>
      <c r="J372" s="9" t="s">
        <v>36</v>
      </c>
      <c r="K372" s="19">
        <v>47.813000000000002</v>
      </c>
      <c r="L372" s="22">
        <v>2.57</v>
      </c>
      <c r="M372" s="22">
        <v>2.0470000000000002</v>
      </c>
      <c r="N372" t="s">
        <v>14</v>
      </c>
      <c r="O372" t="s">
        <v>43</v>
      </c>
    </row>
    <row r="373" spans="1:15" ht="16" x14ac:dyDescent="0.4">
      <c r="A373">
        <v>57</v>
      </c>
      <c r="B373" t="str">
        <f t="shared" si="10"/>
        <v>2023-08-28_0009</v>
      </c>
      <c r="C373" s="8">
        <v>45166</v>
      </c>
      <c r="D373" s="11">
        <v>9</v>
      </c>
      <c r="E373" s="12" t="s">
        <v>15</v>
      </c>
      <c r="F373" s="6">
        <v>45143</v>
      </c>
      <c r="G373" s="9" t="s">
        <v>39</v>
      </c>
      <c r="H373" s="9">
        <f t="shared" si="11"/>
        <v>23</v>
      </c>
      <c r="I373" s="9" t="s">
        <v>18</v>
      </c>
      <c r="J373" s="9" t="s">
        <v>36</v>
      </c>
      <c r="K373" s="19">
        <v>44.197000000000003</v>
      </c>
      <c r="L373" s="22">
        <v>2.617</v>
      </c>
      <c r="M373" s="22">
        <v>2.2069999999999999</v>
      </c>
      <c r="N373" t="s">
        <v>14</v>
      </c>
      <c r="O373" t="s">
        <v>59</v>
      </c>
    </row>
    <row r="374" spans="1:15" ht="16" x14ac:dyDescent="0.4">
      <c r="A374">
        <v>57</v>
      </c>
      <c r="B374" t="str">
        <f t="shared" si="10"/>
        <v>2023-08-28_0010</v>
      </c>
      <c r="C374" s="8">
        <v>45166</v>
      </c>
      <c r="D374" s="11">
        <v>10</v>
      </c>
      <c r="E374" s="12" t="s">
        <v>15</v>
      </c>
      <c r="F374" s="6">
        <v>45143</v>
      </c>
      <c r="G374" s="9" t="s">
        <v>36</v>
      </c>
      <c r="H374" s="9">
        <f t="shared" si="11"/>
        <v>23</v>
      </c>
      <c r="I374" s="9" t="s">
        <v>38</v>
      </c>
      <c r="J374" s="9" t="s">
        <v>36</v>
      </c>
      <c r="K374" s="19" t="s">
        <v>21</v>
      </c>
      <c r="L374" s="22">
        <v>2.5139999999999998</v>
      </c>
      <c r="M374" s="22">
        <v>2.1789999999999998</v>
      </c>
      <c r="N374" t="s">
        <v>14</v>
      </c>
      <c r="O374" t="s">
        <v>42</v>
      </c>
    </row>
    <row r="375" spans="1:15" ht="16" x14ac:dyDescent="0.4">
      <c r="A375">
        <v>57</v>
      </c>
      <c r="B375" t="str">
        <f t="shared" si="10"/>
        <v>2023-08-28_0011</v>
      </c>
      <c r="C375" s="8">
        <v>45166</v>
      </c>
      <c r="D375" s="11">
        <v>11</v>
      </c>
      <c r="E375" s="12" t="s">
        <v>15</v>
      </c>
      <c r="F375" s="6">
        <v>45109</v>
      </c>
      <c r="G375" s="9" t="s">
        <v>36</v>
      </c>
      <c r="H375" s="9">
        <f t="shared" si="11"/>
        <v>57</v>
      </c>
      <c r="I375" s="9" t="s">
        <v>38</v>
      </c>
      <c r="J375" s="9" t="s">
        <v>36</v>
      </c>
      <c r="K375" s="19">
        <v>42.7</v>
      </c>
      <c r="L375" s="22">
        <v>2.859</v>
      </c>
      <c r="M375" s="22">
        <v>2.234</v>
      </c>
      <c r="N375" t="s">
        <v>14</v>
      </c>
      <c r="O375" t="s">
        <v>42</v>
      </c>
    </row>
    <row r="376" spans="1:15" ht="16" x14ac:dyDescent="0.4">
      <c r="A376">
        <v>57</v>
      </c>
      <c r="B376" t="str">
        <f t="shared" si="10"/>
        <v>2023-08-28_0012</v>
      </c>
      <c r="C376" s="8">
        <v>45166</v>
      </c>
      <c r="D376" s="11">
        <v>12</v>
      </c>
      <c r="E376" s="12" t="s">
        <v>15</v>
      </c>
      <c r="F376" s="6">
        <v>45121</v>
      </c>
      <c r="G376" s="9" t="s">
        <v>36</v>
      </c>
      <c r="H376" s="9">
        <f t="shared" si="11"/>
        <v>45</v>
      </c>
      <c r="I376" s="9" t="s">
        <v>37</v>
      </c>
      <c r="J376" s="9" t="s">
        <v>36</v>
      </c>
      <c r="K376" s="19">
        <v>39.472999999999999</v>
      </c>
      <c r="L376" s="22">
        <v>2.4889999999999999</v>
      </c>
      <c r="M376" s="22">
        <v>1.962</v>
      </c>
      <c r="N376" t="s">
        <v>14</v>
      </c>
    </row>
    <row r="377" spans="1:15" ht="16" x14ac:dyDescent="0.4">
      <c r="A377">
        <v>57</v>
      </c>
      <c r="B377" t="str">
        <f t="shared" si="10"/>
        <v>2023-08-28_0013</v>
      </c>
      <c r="C377" s="8">
        <v>45166</v>
      </c>
      <c r="D377" s="11">
        <v>13</v>
      </c>
      <c r="E377" s="12" t="s">
        <v>15</v>
      </c>
      <c r="F377" s="6">
        <v>45128</v>
      </c>
      <c r="G377" s="9" t="s">
        <v>39</v>
      </c>
      <c r="H377" s="9">
        <f t="shared" si="11"/>
        <v>38</v>
      </c>
      <c r="I377" s="9" t="s">
        <v>38</v>
      </c>
      <c r="J377" s="9" t="s">
        <v>36</v>
      </c>
      <c r="K377" s="22">
        <v>49.021000000000001</v>
      </c>
      <c r="L377" s="22">
        <v>2.528</v>
      </c>
      <c r="M377" s="22">
        <v>2.0049999999999999</v>
      </c>
      <c r="N377" t="s">
        <v>14</v>
      </c>
      <c r="O377" t="s">
        <v>59</v>
      </c>
    </row>
    <row r="378" spans="1:15" ht="16" x14ac:dyDescent="0.4">
      <c r="A378">
        <v>58</v>
      </c>
      <c r="B378" t="str">
        <f t="shared" si="10"/>
        <v>2023-08-28_0014</v>
      </c>
      <c r="C378" s="8">
        <v>45166</v>
      </c>
      <c r="D378" s="11">
        <v>14</v>
      </c>
      <c r="E378" s="12" t="s">
        <v>15</v>
      </c>
      <c r="F378" s="6">
        <v>45141</v>
      </c>
      <c r="G378" s="9" t="s">
        <v>36</v>
      </c>
      <c r="H378" s="9">
        <f t="shared" si="11"/>
        <v>25</v>
      </c>
      <c r="I378" s="9" t="s">
        <v>38</v>
      </c>
      <c r="J378" s="9" t="s">
        <v>36</v>
      </c>
      <c r="K378" s="22">
        <v>45.718000000000004</v>
      </c>
      <c r="L378" s="22">
        <v>2.3519999999999999</v>
      </c>
      <c r="M378" s="22">
        <v>1.9450000000000001</v>
      </c>
      <c r="N378" t="s">
        <v>14</v>
      </c>
    </row>
    <row r="379" spans="1:15" ht="16" x14ac:dyDescent="0.4">
      <c r="A379">
        <v>58</v>
      </c>
      <c r="B379" t="str">
        <f t="shared" si="10"/>
        <v>2023-08-28_0015</v>
      </c>
      <c r="C379" s="8">
        <v>45166</v>
      </c>
      <c r="D379" s="11">
        <v>15</v>
      </c>
      <c r="E379" s="12" t="s">
        <v>15</v>
      </c>
      <c r="F379" s="6">
        <v>45145</v>
      </c>
      <c r="G379" s="9" t="s">
        <v>36</v>
      </c>
      <c r="H379" s="9">
        <f t="shared" si="11"/>
        <v>21</v>
      </c>
      <c r="I379" s="9" t="s">
        <v>18</v>
      </c>
      <c r="J379" s="9" t="s">
        <v>36</v>
      </c>
      <c r="K379" s="22">
        <v>45.957999999999998</v>
      </c>
      <c r="L379" s="22">
        <v>2.3940000000000001</v>
      </c>
      <c r="M379" s="22">
        <v>2.0499999999999998</v>
      </c>
      <c r="N379" t="s">
        <v>14</v>
      </c>
    </row>
    <row r="380" spans="1:15" ht="16" x14ac:dyDescent="0.4">
      <c r="A380">
        <v>58</v>
      </c>
      <c r="B380" t="str">
        <f t="shared" si="10"/>
        <v>2023-08-28_0016</v>
      </c>
      <c r="C380" s="8">
        <v>45166</v>
      </c>
      <c r="D380" s="11">
        <v>16</v>
      </c>
      <c r="E380" s="12" t="s">
        <v>11</v>
      </c>
      <c r="F380" s="6">
        <v>45141</v>
      </c>
      <c r="G380" s="9" t="s">
        <v>36</v>
      </c>
      <c r="H380" s="9">
        <f t="shared" si="11"/>
        <v>25</v>
      </c>
      <c r="I380" s="9" t="s">
        <v>12</v>
      </c>
      <c r="J380" s="9" t="s">
        <v>36</v>
      </c>
      <c r="K380" s="22">
        <v>44.860999999999997</v>
      </c>
      <c r="L380" s="22">
        <v>2.6659999999999999</v>
      </c>
      <c r="M380" s="22">
        <v>2.2429999999999999</v>
      </c>
      <c r="N380" t="s">
        <v>14</v>
      </c>
      <c r="O380" t="s">
        <v>42</v>
      </c>
    </row>
    <row r="381" spans="1:15" ht="16" x14ac:dyDescent="0.4">
      <c r="A381">
        <v>58</v>
      </c>
      <c r="B381" t="str">
        <f t="shared" si="10"/>
        <v>2023-08-28_0017</v>
      </c>
      <c r="C381" s="8">
        <v>45166</v>
      </c>
      <c r="D381" s="11">
        <v>17</v>
      </c>
      <c r="E381" s="12" t="s">
        <v>11</v>
      </c>
      <c r="F381" s="6">
        <v>45141</v>
      </c>
      <c r="G381" s="9" t="s">
        <v>36</v>
      </c>
      <c r="H381" s="9">
        <f t="shared" si="11"/>
        <v>25</v>
      </c>
      <c r="I381" s="9" t="s">
        <v>38</v>
      </c>
      <c r="J381" s="9" t="s">
        <v>36</v>
      </c>
      <c r="K381" s="22">
        <v>48.796999999999997</v>
      </c>
      <c r="L381" s="22">
        <v>2.5419999999999998</v>
      </c>
      <c r="M381" s="22">
        <v>1.974</v>
      </c>
      <c r="N381" t="s">
        <v>14</v>
      </c>
    </row>
    <row r="382" spans="1:15" ht="16" x14ac:dyDescent="0.4">
      <c r="A382">
        <v>58</v>
      </c>
      <c r="B382" t="str">
        <f t="shared" si="10"/>
        <v>2023-08-28_0018</v>
      </c>
      <c r="C382" s="8">
        <v>45166</v>
      </c>
      <c r="D382" s="11">
        <v>18</v>
      </c>
      <c r="E382" s="12" t="s">
        <v>15</v>
      </c>
      <c r="F382" s="6">
        <v>45143</v>
      </c>
      <c r="G382" s="9" t="s">
        <v>36</v>
      </c>
      <c r="H382" s="9">
        <f t="shared" si="11"/>
        <v>23</v>
      </c>
      <c r="I382" s="9" t="s">
        <v>12</v>
      </c>
      <c r="J382" s="9" t="s">
        <v>36</v>
      </c>
      <c r="K382" s="22">
        <v>46.951999999999998</v>
      </c>
      <c r="L382" s="22">
        <v>2.4500000000000002</v>
      </c>
      <c r="M382" s="22">
        <v>2.0009999999999999</v>
      </c>
      <c r="N382" t="s">
        <v>14</v>
      </c>
    </row>
    <row r="383" spans="1:15" ht="16" x14ac:dyDescent="0.4">
      <c r="A383">
        <v>58</v>
      </c>
      <c r="B383" t="str">
        <f t="shared" si="10"/>
        <v>2023-08-28_0019</v>
      </c>
      <c r="C383" s="8">
        <v>45166</v>
      </c>
      <c r="D383" s="11">
        <v>19</v>
      </c>
      <c r="E383" s="12" t="s">
        <v>15</v>
      </c>
      <c r="F383" s="6">
        <v>45147</v>
      </c>
      <c r="G383" s="9" t="s">
        <v>36</v>
      </c>
      <c r="H383" s="9">
        <f t="shared" si="11"/>
        <v>19</v>
      </c>
      <c r="I383" s="9" t="s">
        <v>37</v>
      </c>
      <c r="J383" s="9" t="s">
        <v>36</v>
      </c>
      <c r="K383" s="22">
        <v>45.865000000000002</v>
      </c>
      <c r="L383" s="22">
        <v>2.68</v>
      </c>
      <c r="M383" s="22">
        <v>2.222</v>
      </c>
      <c r="N383" t="s">
        <v>14</v>
      </c>
      <c r="O383" t="s">
        <v>42</v>
      </c>
    </row>
    <row r="384" spans="1:15" ht="16" x14ac:dyDescent="0.4">
      <c r="A384">
        <v>58</v>
      </c>
      <c r="B384" t="str">
        <f t="shared" si="10"/>
        <v>2023-08-28_0020</v>
      </c>
      <c r="C384" s="8">
        <v>45166</v>
      </c>
      <c r="D384" s="11">
        <v>20</v>
      </c>
      <c r="E384" s="12" t="s">
        <v>15</v>
      </c>
      <c r="F384" s="6">
        <v>45136</v>
      </c>
      <c r="G384" s="9" t="s">
        <v>36</v>
      </c>
      <c r="H384" s="9">
        <f t="shared" si="11"/>
        <v>30</v>
      </c>
      <c r="I384" s="9" t="s">
        <v>12</v>
      </c>
      <c r="J384" s="9" t="s">
        <v>36</v>
      </c>
      <c r="K384" s="22">
        <v>51.542999999999999</v>
      </c>
      <c r="L384" s="22">
        <v>2.6160000000000001</v>
      </c>
      <c r="M384" s="22">
        <v>2.0590000000000002</v>
      </c>
      <c r="N384" t="s">
        <v>14</v>
      </c>
    </row>
    <row r="385" spans="1:15" ht="16" x14ac:dyDescent="0.4">
      <c r="A385">
        <v>58</v>
      </c>
      <c r="B385" t="str">
        <f t="shared" si="10"/>
        <v>2023-08-28_0021</v>
      </c>
      <c r="C385" s="8">
        <v>45166</v>
      </c>
      <c r="D385" s="11">
        <v>21</v>
      </c>
      <c r="E385" s="12" t="s">
        <v>15</v>
      </c>
      <c r="F385" s="6">
        <v>45150</v>
      </c>
      <c r="G385" s="9" t="s">
        <v>36</v>
      </c>
      <c r="H385" s="9">
        <f t="shared" si="11"/>
        <v>16</v>
      </c>
      <c r="I385" s="9" t="s">
        <v>12</v>
      </c>
      <c r="J385" s="9" t="s">
        <v>36</v>
      </c>
      <c r="K385" s="22">
        <v>48.895000000000003</v>
      </c>
      <c r="L385" s="22">
        <v>2.617</v>
      </c>
      <c r="M385" s="22">
        <v>2.173</v>
      </c>
      <c r="N385" t="s">
        <v>14</v>
      </c>
      <c r="O385" t="s">
        <v>42</v>
      </c>
    </row>
    <row r="386" spans="1:15" ht="16" x14ac:dyDescent="0.4">
      <c r="A386">
        <v>58</v>
      </c>
      <c r="B386" t="str">
        <f t="shared" ref="B386:B449" si="12">IF(ISBLANK(C386),NA(),_xlfn.CONCAT(TEXT(C386,"YYYY-MM-DD"),"_",TEXT(D386,"0000")))</f>
        <v>2023-08-28_0022</v>
      </c>
      <c r="C386" s="8">
        <v>45166</v>
      </c>
      <c r="D386" s="11">
        <v>22</v>
      </c>
      <c r="E386" s="12" t="s">
        <v>11</v>
      </c>
      <c r="F386" s="6">
        <v>45151</v>
      </c>
      <c r="G386" s="9" t="s">
        <v>36</v>
      </c>
      <c r="H386" s="9">
        <f t="shared" ref="H386:H449" si="13">IF(F386="NA","NA", DATEDIF(F386,C386,"d"))</f>
        <v>15</v>
      </c>
      <c r="I386" s="9" t="s">
        <v>12</v>
      </c>
      <c r="J386" s="9" t="s">
        <v>36</v>
      </c>
      <c r="K386" s="22">
        <v>49.996000000000002</v>
      </c>
      <c r="L386" s="22">
        <v>2.4910000000000001</v>
      </c>
      <c r="M386" s="22">
        <v>2.121</v>
      </c>
      <c r="N386" t="s">
        <v>14</v>
      </c>
      <c r="O386" t="s">
        <v>42</v>
      </c>
    </row>
    <row r="387" spans="1:15" ht="16" x14ac:dyDescent="0.4">
      <c r="A387">
        <v>58</v>
      </c>
      <c r="B387" t="str">
        <f t="shared" si="12"/>
        <v>2023-08-28_0023</v>
      </c>
      <c r="C387" s="8">
        <v>45166</v>
      </c>
      <c r="D387" s="11">
        <v>23</v>
      </c>
      <c r="E387" s="12" t="s">
        <v>11</v>
      </c>
      <c r="F387" s="6">
        <v>45123</v>
      </c>
      <c r="G387" s="9" t="s">
        <v>36</v>
      </c>
      <c r="H387" s="9">
        <f t="shared" si="13"/>
        <v>43</v>
      </c>
      <c r="I387" s="9" t="s">
        <v>38</v>
      </c>
      <c r="J387" s="9" t="s">
        <v>36</v>
      </c>
      <c r="K387" s="22">
        <v>46.597000000000001</v>
      </c>
      <c r="L387" s="22">
        <v>2.8260000000000001</v>
      </c>
      <c r="M387" s="22">
        <v>2.242</v>
      </c>
      <c r="N387" t="s">
        <v>14</v>
      </c>
      <c r="O387" t="s">
        <v>42</v>
      </c>
    </row>
    <row r="388" spans="1:15" ht="16" x14ac:dyDescent="0.4">
      <c r="A388">
        <v>58</v>
      </c>
      <c r="B388" t="str">
        <f t="shared" si="12"/>
        <v>2023-08-28_0024</v>
      </c>
      <c r="C388" s="8">
        <v>45166</v>
      </c>
      <c r="D388" s="11">
        <v>24</v>
      </c>
      <c r="E388" s="12" t="s">
        <v>15</v>
      </c>
      <c r="F388" s="6">
        <v>45145</v>
      </c>
      <c r="G388" s="9" t="s">
        <v>36</v>
      </c>
      <c r="H388" s="9">
        <f t="shared" si="13"/>
        <v>21</v>
      </c>
      <c r="I388" s="9" t="s">
        <v>18</v>
      </c>
      <c r="J388" s="9" t="s">
        <v>36</v>
      </c>
      <c r="K388" s="22">
        <v>46.384999999999998</v>
      </c>
      <c r="L388" s="22">
        <v>2.41</v>
      </c>
      <c r="M388" s="22">
        <v>2.0089999999999999</v>
      </c>
      <c r="N388" t="s">
        <v>14</v>
      </c>
    </row>
    <row r="389" spans="1:15" ht="16" x14ac:dyDescent="0.4">
      <c r="A389">
        <v>58</v>
      </c>
      <c r="B389" t="str">
        <f t="shared" si="12"/>
        <v>2023-08-28_0025</v>
      </c>
      <c r="C389" s="8">
        <v>45166</v>
      </c>
      <c r="D389" s="11">
        <v>25</v>
      </c>
      <c r="E389" s="12" t="s">
        <v>11</v>
      </c>
      <c r="F389" s="6">
        <v>45147</v>
      </c>
      <c r="G389" s="9" t="s">
        <v>36</v>
      </c>
      <c r="H389" s="9">
        <f t="shared" si="13"/>
        <v>19</v>
      </c>
      <c r="I389" s="9" t="s">
        <v>18</v>
      </c>
      <c r="J389" s="9" t="s">
        <v>36</v>
      </c>
      <c r="K389" s="22">
        <v>45.627000000000002</v>
      </c>
      <c r="L389" s="22">
        <v>2.8540000000000001</v>
      </c>
      <c r="M389" s="22">
        <v>2.2320000000000002</v>
      </c>
      <c r="N389" t="s">
        <v>14</v>
      </c>
      <c r="O389" t="s">
        <v>42</v>
      </c>
    </row>
    <row r="390" spans="1:15" ht="16" x14ac:dyDescent="0.4">
      <c r="A390">
        <v>58</v>
      </c>
      <c r="B390" t="str">
        <f t="shared" si="12"/>
        <v>2023-08-28_0026</v>
      </c>
      <c r="C390" s="8">
        <v>45166</v>
      </c>
      <c r="D390" s="11">
        <v>26</v>
      </c>
      <c r="E390" s="12" t="s">
        <v>15</v>
      </c>
      <c r="F390" s="6">
        <v>45150</v>
      </c>
      <c r="G390" s="9" t="s">
        <v>36</v>
      </c>
      <c r="H390" s="9">
        <f t="shared" si="13"/>
        <v>16</v>
      </c>
      <c r="I390" s="9" t="s">
        <v>38</v>
      </c>
      <c r="J390" s="9" t="s">
        <v>36</v>
      </c>
      <c r="K390" s="22">
        <v>50.06</v>
      </c>
      <c r="L390" s="22">
        <v>2.7890000000000001</v>
      </c>
      <c r="M390" s="22">
        <v>2.1949999999999998</v>
      </c>
      <c r="N390" t="s">
        <v>14</v>
      </c>
      <c r="O390" t="s">
        <v>42</v>
      </c>
    </row>
    <row r="391" spans="1:15" ht="16" x14ac:dyDescent="0.4">
      <c r="A391">
        <v>58</v>
      </c>
      <c r="B391" t="str">
        <f t="shared" si="12"/>
        <v>2023-08-28_0027</v>
      </c>
      <c r="C391" s="8">
        <v>45166</v>
      </c>
      <c r="D391" s="11">
        <v>27</v>
      </c>
      <c r="E391" s="12" t="s">
        <v>15</v>
      </c>
      <c r="F391" s="6">
        <v>45145</v>
      </c>
      <c r="G391" s="9" t="s">
        <v>36</v>
      </c>
      <c r="H391" s="9">
        <f t="shared" si="13"/>
        <v>21</v>
      </c>
      <c r="I391" s="9" t="s">
        <v>18</v>
      </c>
      <c r="J391" s="9" t="s">
        <v>36</v>
      </c>
      <c r="K391" s="22">
        <v>50.012</v>
      </c>
      <c r="L391" s="22">
        <v>2.637</v>
      </c>
      <c r="M391" s="22">
        <v>2.1930000000000001</v>
      </c>
      <c r="N391" t="s">
        <v>14</v>
      </c>
      <c r="O391" t="s">
        <v>42</v>
      </c>
    </row>
    <row r="392" spans="1:15" ht="16" x14ac:dyDescent="0.4">
      <c r="A392">
        <v>58</v>
      </c>
      <c r="B392" t="str">
        <f t="shared" si="12"/>
        <v>2023-08-28_0028</v>
      </c>
      <c r="C392" s="8">
        <v>45166</v>
      </c>
      <c r="D392" s="11">
        <v>28</v>
      </c>
      <c r="E392" s="12" t="s">
        <v>15</v>
      </c>
      <c r="F392" s="6">
        <v>45145</v>
      </c>
      <c r="G392" s="9" t="s">
        <v>36</v>
      </c>
      <c r="H392" s="9">
        <f t="shared" si="13"/>
        <v>21</v>
      </c>
      <c r="I392" s="9" t="s">
        <v>18</v>
      </c>
      <c r="J392" s="9" t="s">
        <v>36</v>
      </c>
      <c r="K392" s="22">
        <v>42.526000000000003</v>
      </c>
      <c r="L392" s="22">
        <v>2.323</v>
      </c>
      <c r="M392" s="22">
        <v>1.9259999999999999</v>
      </c>
      <c r="N392" t="s">
        <v>14</v>
      </c>
    </row>
    <row r="393" spans="1:15" ht="16" x14ac:dyDescent="0.4">
      <c r="A393">
        <v>58</v>
      </c>
      <c r="B393" t="str">
        <f t="shared" si="12"/>
        <v>2023-08-28_0029</v>
      </c>
      <c r="C393" s="8">
        <v>45166</v>
      </c>
      <c r="D393" s="11">
        <v>29</v>
      </c>
      <c r="E393" s="12" t="s">
        <v>15</v>
      </c>
      <c r="F393" s="6">
        <v>45143</v>
      </c>
      <c r="G393" s="9" t="s">
        <v>36</v>
      </c>
      <c r="H393" s="9">
        <f t="shared" si="13"/>
        <v>23</v>
      </c>
      <c r="I393" s="9" t="s">
        <v>18</v>
      </c>
      <c r="J393" s="9" t="s">
        <v>36</v>
      </c>
      <c r="K393" s="22">
        <v>47.56</v>
      </c>
      <c r="L393" s="22">
        <v>2.4769999999999999</v>
      </c>
      <c r="M393" s="22">
        <v>2.1669999999999998</v>
      </c>
      <c r="N393" t="s">
        <v>14</v>
      </c>
    </row>
    <row r="394" spans="1:15" ht="16" x14ac:dyDescent="0.4">
      <c r="A394">
        <v>58</v>
      </c>
      <c r="B394" t="str">
        <f t="shared" si="12"/>
        <v>2023-08-28_0030</v>
      </c>
      <c r="C394" s="8">
        <v>45166</v>
      </c>
      <c r="D394" s="11">
        <v>30</v>
      </c>
      <c r="E394" s="12" t="s">
        <v>15</v>
      </c>
      <c r="F394" s="6">
        <v>45145</v>
      </c>
      <c r="G394" s="9" t="s">
        <v>36</v>
      </c>
      <c r="H394" s="9">
        <f t="shared" si="13"/>
        <v>21</v>
      </c>
      <c r="I394" s="9" t="s">
        <v>18</v>
      </c>
      <c r="J394" s="9" t="s">
        <v>36</v>
      </c>
      <c r="K394" s="22">
        <v>44.73</v>
      </c>
      <c r="L394" s="22">
        <v>2.4849999999999999</v>
      </c>
      <c r="M394" s="22">
        <v>2.073</v>
      </c>
      <c r="N394" t="s">
        <v>14</v>
      </c>
    </row>
    <row r="395" spans="1:15" ht="16" x14ac:dyDescent="0.4">
      <c r="A395">
        <v>58</v>
      </c>
      <c r="B395" t="str">
        <f t="shared" si="12"/>
        <v>2023-08-28_0031</v>
      </c>
      <c r="C395" s="8">
        <v>45166</v>
      </c>
      <c r="D395" s="11">
        <v>31</v>
      </c>
      <c r="E395" s="12" t="s">
        <v>15</v>
      </c>
      <c r="F395" s="6">
        <v>45145</v>
      </c>
      <c r="G395" s="9" t="s">
        <v>36</v>
      </c>
      <c r="H395" s="9">
        <f t="shared" si="13"/>
        <v>21</v>
      </c>
      <c r="I395" s="9" t="s">
        <v>18</v>
      </c>
      <c r="J395" s="9" t="s">
        <v>36</v>
      </c>
      <c r="K395" s="22">
        <v>49.667000000000002</v>
      </c>
      <c r="L395" s="22">
        <v>2.532</v>
      </c>
      <c r="M395" s="22">
        <v>2.113</v>
      </c>
      <c r="N395" t="s">
        <v>14</v>
      </c>
    </row>
    <row r="396" spans="1:15" ht="16" x14ac:dyDescent="0.4">
      <c r="A396">
        <v>59</v>
      </c>
      <c r="B396" t="str">
        <f t="shared" si="12"/>
        <v>2023-08-28_0032</v>
      </c>
      <c r="C396" s="8">
        <v>45166</v>
      </c>
      <c r="D396" s="11">
        <v>32</v>
      </c>
      <c r="E396" s="12" t="s">
        <v>15</v>
      </c>
      <c r="F396" s="6">
        <v>45138</v>
      </c>
      <c r="G396" s="9" t="s">
        <v>36</v>
      </c>
      <c r="H396" s="9">
        <f t="shared" si="13"/>
        <v>28</v>
      </c>
      <c r="I396" s="9" t="s">
        <v>18</v>
      </c>
      <c r="J396" s="9" t="s">
        <v>36</v>
      </c>
      <c r="K396" s="19" t="s">
        <v>21</v>
      </c>
      <c r="L396" s="22">
        <v>2.528</v>
      </c>
      <c r="M396" s="22">
        <v>2.1779999999999999</v>
      </c>
      <c r="N396" t="s">
        <v>16</v>
      </c>
      <c r="O396" t="s">
        <v>48</v>
      </c>
    </row>
    <row r="397" spans="1:15" ht="16" x14ac:dyDescent="0.4">
      <c r="A397">
        <v>59</v>
      </c>
      <c r="B397" t="str">
        <f t="shared" si="12"/>
        <v>2023-08-28_0033</v>
      </c>
      <c r="C397" s="8">
        <v>45166</v>
      </c>
      <c r="D397" s="11">
        <v>33</v>
      </c>
      <c r="E397" s="12" t="s">
        <v>15</v>
      </c>
      <c r="F397" s="6">
        <v>45138</v>
      </c>
      <c r="G397" s="9" t="s">
        <v>36</v>
      </c>
      <c r="H397" s="9">
        <f t="shared" si="13"/>
        <v>28</v>
      </c>
      <c r="I397" s="9" t="s">
        <v>37</v>
      </c>
      <c r="J397" s="9" t="s">
        <v>36</v>
      </c>
      <c r="K397" s="22">
        <v>46.884999999999998</v>
      </c>
      <c r="L397" s="22">
        <v>2.4510000000000001</v>
      </c>
      <c r="M397" s="22">
        <v>1.98</v>
      </c>
      <c r="N397" t="s">
        <v>14</v>
      </c>
    </row>
    <row r="398" spans="1:15" ht="16" x14ac:dyDescent="0.4">
      <c r="A398">
        <v>59</v>
      </c>
      <c r="B398" t="str">
        <f t="shared" si="12"/>
        <v>2023-08-28_0034</v>
      </c>
      <c r="C398" s="8">
        <v>45166</v>
      </c>
      <c r="D398" s="11">
        <v>34</v>
      </c>
      <c r="E398" s="12" t="s">
        <v>15</v>
      </c>
      <c r="F398" s="6">
        <v>45125</v>
      </c>
      <c r="G398" s="9" t="s">
        <v>36</v>
      </c>
      <c r="H398" s="9">
        <f t="shared" si="13"/>
        <v>41</v>
      </c>
      <c r="I398" s="9" t="s">
        <v>18</v>
      </c>
      <c r="J398" s="9" t="s">
        <v>39</v>
      </c>
      <c r="K398" s="22">
        <v>46.165999999999997</v>
      </c>
      <c r="L398" s="22">
        <v>2.5139999999999998</v>
      </c>
      <c r="M398" s="22">
        <v>2.113</v>
      </c>
      <c r="N398" t="s">
        <v>14</v>
      </c>
    </row>
    <row r="399" spans="1:15" ht="16" x14ac:dyDescent="0.4">
      <c r="A399">
        <v>59</v>
      </c>
      <c r="B399" t="str">
        <f t="shared" si="12"/>
        <v>2023-08-28_0035</v>
      </c>
      <c r="C399" s="8">
        <v>45166</v>
      </c>
      <c r="D399" s="11">
        <v>35</v>
      </c>
      <c r="E399" s="12" t="s">
        <v>15</v>
      </c>
      <c r="F399" s="6">
        <v>45141</v>
      </c>
      <c r="G399" s="9" t="s">
        <v>36</v>
      </c>
      <c r="H399" s="9">
        <f t="shared" si="13"/>
        <v>25</v>
      </c>
      <c r="I399" s="9" t="s">
        <v>18</v>
      </c>
      <c r="J399" s="9" t="s">
        <v>36</v>
      </c>
      <c r="K399" s="22">
        <v>47.176000000000002</v>
      </c>
      <c r="L399" s="22">
        <v>2.2770000000000001</v>
      </c>
      <c r="M399" s="22">
        <v>2.06</v>
      </c>
      <c r="N399" t="s">
        <v>14</v>
      </c>
    </row>
    <row r="400" spans="1:15" ht="16" x14ac:dyDescent="0.4">
      <c r="A400">
        <v>59</v>
      </c>
      <c r="B400" t="str">
        <f t="shared" si="12"/>
        <v>2023-08-28_0036</v>
      </c>
      <c r="C400" s="8">
        <v>45166</v>
      </c>
      <c r="D400" s="11">
        <v>36</v>
      </c>
      <c r="E400" s="12" t="s">
        <v>11</v>
      </c>
      <c r="F400" s="6">
        <v>45141</v>
      </c>
      <c r="G400" s="9" t="s">
        <v>36</v>
      </c>
      <c r="H400" s="9">
        <f t="shared" si="13"/>
        <v>25</v>
      </c>
      <c r="I400" s="9" t="s">
        <v>18</v>
      </c>
      <c r="J400" s="9" t="s">
        <v>36</v>
      </c>
      <c r="K400" s="22">
        <v>50.107999999999997</v>
      </c>
      <c r="L400" s="22">
        <v>2.7160000000000002</v>
      </c>
      <c r="M400" s="22">
        <v>2.1819999999999999</v>
      </c>
      <c r="N400" t="s">
        <v>16</v>
      </c>
      <c r="O400" t="s">
        <v>48</v>
      </c>
    </row>
    <row r="401" spans="1:15" ht="16" x14ac:dyDescent="0.4">
      <c r="A401">
        <v>59</v>
      </c>
      <c r="B401" t="str">
        <f t="shared" si="12"/>
        <v>2023-08-28_0037</v>
      </c>
      <c r="C401" s="8">
        <v>45166</v>
      </c>
      <c r="D401" s="11">
        <v>37</v>
      </c>
      <c r="E401" s="12" t="s">
        <v>11</v>
      </c>
      <c r="F401" s="6">
        <v>45121</v>
      </c>
      <c r="G401" s="9" t="s">
        <v>36</v>
      </c>
      <c r="H401" s="9">
        <f t="shared" si="13"/>
        <v>45</v>
      </c>
      <c r="I401" s="9" t="s">
        <v>18</v>
      </c>
      <c r="J401" s="9" t="s">
        <v>36</v>
      </c>
      <c r="K401" s="22">
        <v>52.024000000000001</v>
      </c>
      <c r="L401" s="22">
        <v>2.91</v>
      </c>
      <c r="M401" s="22">
        <v>2.2269999999999999</v>
      </c>
      <c r="N401" t="s">
        <v>14</v>
      </c>
      <c r="O401" t="s">
        <v>42</v>
      </c>
    </row>
    <row r="402" spans="1:15" ht="16" x14ac:dyDescent="0.4">
      <c r="A402">
        <v>59</v>
      </c>
      <c r="B402" t="str">
        <f t="shared" si="12"/>
        <v>2023-08-28_0038</v>
      </c>
      <c r="C402" s="8">
        <v>45166</v>
      </c>
      <c r="D402" s="11">
        <v>38</v>
      </c>
      <c r="E402" s="12" t="s">
        <v>11</v>
      </c>
      <c r="F402" s="6">
        <v>45136</v>
      </c>
      <c r="G402" s="9" t="s">
        <v>36</v>
      </c>
      <c r="H402" s="9">
        <f t="shared" si="13"/>
        <v>30</v>
      </c>
      <c r="I402" s="9" t="s">
        <v>37</v>
      </c>
      <c r="J402" s="9" t="s">
        <v>36</v>
      </c>
      <c r="K402" s="22">
        <v>46.146999999999998</v>
      </c>
      <c r="L402" s="22">
        <v>2.605</v>
      </c>
      <c r="M402" s="22">
        <v>2.1709999999999998</v>
      </c>
      <c r="N402" t="s">
        <v>14</v>
      </c>
      <c r="O402" t="s">
        <v>42</v>
      </c>
    </row>
    <row r="403" spans="1:15" ht="16" x14ac:dyDescent="0.4">
      <c r="A403">
        <v>59</v>
      </c>
      <c r="B403" t="str">
        <f t="shared" si="12"/>
        <v>2023-08-28_0039</v>
      </c>
      <c r="C403" s="8">
        <v>45166</v>
      </c>
      <c r="D403" s="11">
        <v>39</v>
      </c>
      <c r="E403" s="12" t="s">
        <v>11</v>
      </c>
      <c r="F403" s="6">
        <v>45133</v>
      </c>
      <c r="G403" s="9" t="s">
        <v>39</v>
      </c>
      <c r="H403" s="9">
        <f t="shared" si="13"/>
        <v>33</v>
      </c>
      <c r="I403" s="9" t="s">
        <v>38</v>
      </c>
      <c r="J403" s="9" t="s">
        <v>36</v>
      </c>
      <c r="K403" s="22">
        <v>48.55</v>
      </c>
      <c r="L403" s="22">
        <v>2.8319999999999999</v>
      </c>
      <c r="M403" s="22">
        <v>2.1960000000000002</v>
      </c>
      <c r="N403" t="s">
        <v>14</v>
      </c>
      <c r="O403" t="s">
        <v>59</v>
      </c>
    </row>
    <row r="404" spans="1:15" ht="16" x14ac:dyDescent="0.4">
      <c r="A404">
        <v>59</v>
      </c>
      <c r="B404" t="str">
        <f t="shared" si="12"/>
        <v>2023-08-28_0040</v>
      </c>
      <c r="C404" s="8">
        <v>45166</v>
      </c>
      <c r="D404" s="11">
        <v>40</v>
      </c>
      <c r="E404" s="12" t="s">
        <v>11</v>
      </c>
      <c r="F404" s="6">
        <v>45147</v>
      </c>
      <c r="G404" s="9" t="s">
        <v>36</v>
      </c>
      <c r="H404" s="9">
        <f t="shared" si="13"/>
        <v>19</v>
      </c>
      <c r="I404" s="9" t="s">
        <v>18</v>
      </c>
      <c r="J404" s="9" t="s">
        <v>36</v>
      </c>
      <c r="K404" s="19" t="s">
        <v>21</v>
      </c>
      <c r="L404" s="22">
        <v>2.4769999999999999</v>
      </c>
      <c r="M404" s="22">
        <v>2.0870000000000002</v>
      </c>
      <c r="N404" t="s">
        <v>14</v>
      </c>
      <c r="O404" t="s">
        <v>42</v>
      </c>
    </row>
    <row r="405" spans="1:15" ht="16" x14ac:dyDescent="0.4">
      <c r="A405">
        <v>59</v>
      </c>
      <c r="B405" t="str">
        <f t="shared" si="12"/>
        <v>2023-08-28_0041</v>
      </c>
      <c r="C405" s="8">
        <v>45166</v>
      </c>
      <c r="D405" s="11">
        <v>41</v>
      </c>
      <c r="E405" s="12" t="s">
        <v>11</v>
      </c>
      <c r="F405" s="6">
        <v>45126</v>
      </c>
      <c r="G405" s="9" t="s">
        <v>36</v>
      </c>
      <c r="H405" s="9">
        <f t="shared" si="13"/>
        <v>40</v>
      </c>
      <c r="I405" s="9" t="s">
        <v>18</v>
      </c>
      <c r="J405" s="9" t="s">
        <v>36</v>
      </c>
      <c r="K405" s="22">
        <v>48.625999999999998</v>
      </c>
      <c r="L405" s="22">
        <v>2.7010000000000001</v>
      </c>
      <c r="M405" s="22">
        <v>2.2440000000000002</v>
      </c>
      <c r="N405" t="s">
        <v>14</v>
      </c>
      <c r="O405" t="s">
        <v>42</v>
      </c>
    </row>
    <row r="406" spans="1:15" ht="16" x14ac:dyDescent="0.4">
      <c r="A406">
        <v>59</v>
      </c>
      <c r="B406" t="str">
        <f t="shared" si="12"/>
        <v>2023-08-28_0042</v>
      </c>
      <c r="C406" s="8">
        <v>45166</v>
      </c>
      <c r="D406" s="11">
        <v>42</v>
      </c>
      <c r="E406" s="12" t="s">
        <v>11</v>
      </c>
      <c r="F406" s="6">
        <v>45141</v>
      </c>
      <c r="G406" s="9" t="s">
        <v>36</v>
      </c>
      <c r="H406" s="9">
        <f t="shared" si="13"/>
        <v>25</v>
      </c>
      <c r="I406" s="9" t="s">
        <v>12</v>
      </c>
      <c r="J406" s="9" t="s">
        <v>36</v>
      </c>
      <c r="K406" s="19" t="s">
        <v>21</v>
      </c>
      <c r="L406" s="22">
        <v>2.65</v>
      </c>
      <c r="M406" s="22">
        <v>2.214</v>
      </c>
      <c r="N406" t="s">
        <v>16</v>
      </c>
      <c r="O406" t="s">
        <v>48</v>
      </c>
    </row>
    <row r="407" spans="1:15" ht="16" x14ac:dyDescent="0.4">
      <c r="A407">
        <v>59</v>
      </c>
      <c r="B407" t="str">
        <f t="shared" si="12"/>
        <v>2023-08-28_0043</v>
      </c>
      <c r="C407" s="8">
        <v>45166</v>
      </c>
      <c r="D407" s="11">
        <v>43</v>
      </c>
      <c r="E407" s="12" t="s">
        <v>11</v>
      </c>
      <c r="F407" s="6">
        <v>45136</v>
      </c>
      <c r="G407" s="9" t="s">
        <v>36</v>
      </c>
      <c r="H407" s="9">
        <f t="shared" si="13"/>
        <v>30</v>
      </c>
      <c r="I407" s="9" t="s">
        <v>12</v>
      </c>
      <c r="J407" s="9" t="s">
        <v>36</v>
      </c>
      <c r="K407" s="19" t="s">
        <v>21</v>
      </c>
      <c r="L407" s="22">
        <v>2.74</v>
      </c>
      <c r="M407" s="22">
        <v>2.2269999999999999</v>
      </c>
      <c r="N407" t="s">
        <v>16</v>
      </c>
      <c r="O407" t="s">
        <v>48</v>
      </c>
    </row>
    <row r="408" spans="1:15" ht="16" x14ac:dyDescent="0.4">
      <c r="A408">
        <v>59</v>
      </c>
      <c r="B408" t="str">
        <f t="shared" si="12"/>
        <v>2023-08-28_0044</v>
      </c>
      <c r="C408" s="8">
        <v>45166</v>
      </c>
      <c r="D408" s="11">
        <v>44</v>
      </c>
      <c r="E408" s="12" t="s">
        <v>11</v>
      </c>
      <c r="F408" s="6">
        <v>45145</v>
      </c>
      <c r="G408" s="9" t="s">
        <v>39</v>
      </c>
      <c r="H408" s="9">
        <f t="shared" si="13"/>
        <v>21</v>
      </c>
      <c r="I408" s="9" t="s">
        <v>18</v>
      </c>
      <c r="J408" s="9" t="s">
        <v>39</v>
      </c>
      <c r="K408" s="19" t="s">
        <v>21</v>
      </c>
      <c r="L408" s="22">
        <v>2.59</v>
      </c>
      <c r="M408" s="22">
        <v>2.101</v>
      </c>
      <c r="N408" t="s">
        <v>14</v>
      </c>
      <c r="O408" t="s">
        <v>80</v>
      </c>
    </row>
    <row r="409" spans="1:15" ht="16" x14ac:dyDescent="0.4">
      <c r="A409">
        <v>59</v>
      </c>
      <c r="B409" t="str">
        <f t="shared" si="12"/>
        <v>2023-08-28_0045</v>
      </c>
      <c r="C409" s="8">
        <v>45166</v>
      </c>
      <c r="D409" s="11">
        <v>45</v>
      </c>
      <c r="E409" s="12" t="s">
        <v>11</v>
      </c>
      <c r="F409" s="6">
        <v>45141</v>
      </c>
      <c r="G409" s="9" t="s">
        <v>36</v>
      </c>
      <c r="H409" s="9">
        <f t="shared" si="13"/>
        <v>25</v>
      </c>
      <c r="I409" s="9" t="s">
        <v>12</v>
      </c>
      <c r="J409" s="9" t="s">
        <v>36</v>
      </c>
      <c r="K409" s="19" t="s">
        <v>21</v>
      </c>
      <c r="L409" s="22">
        <v>2.5819999999999999</v>
      </c>
      <c r="M409" s="22">
        <v>2.1669999999999998</v>
      </c>
      <c r="N409" t="s">
        <v>16</v>
      </c>
      <c r="O409" t="s">
        <v>48</v>
      </c>
    </row>
    <row r="410" spans="1:15" ht="16" x14ac:dyDescent="0.4">
      <c r="A410">
        <v>59</v>
      </c>
      <c r="B410" t="str">
        <f t="shared" si="12"/>
        <v>2023-08-28_0046</v>
      </c>
      <c r="C410" s="8">
        <v>45166</v>
      </c>
      <c r="D410" s="11">
        <v>46</v>
      </c>
      <c r="E410" s="12" t="s">
        <v>15</v>
      </c>
      <c r="F410" s="6">
        <v>45126</v>
      </c>
      <c r="G410" s="9" t="s">
        <v>36</v>
      </c>
      <c r="H410" s="9">
        <f t="shared" si="13"/>
        <v>40</v>
      </c>
      <c r="I410" s="9" t="s">
        <v>18</v>
      </c>
      <c r="J410" s="9" t="s">
        <v>36</v>
      </c>
      <c r="K410" s="22">
        <v>47.511000000000003</v>
      </c>
      <c r="L410" s="22">
        <v>2.5979999999999999</v>
      </c>
      <c r="M410" s="22">
        <v>2.2570000000000001</v>
      </c>
      <c r="N410" t="s">
        <v>14</v>
      </c>
      <c r="O410" t="s">
        <v>42</v>
      </c>
    </row>
    <row r="411" spans="1:15" ht="16" x14ac:dyDescent="0.4">
      <c r="A411">
        <v>59</v>
      </c>
      <c r="B411" t="str">
        <f t="shared" si="12"/>
        <v>2023-08-28_0047</v>
      </c>
      <c r="C411" s="8">
        <v>45166</v>
      </c>
      <c r="D411" s="11">
        <v>47</v>
      </c>
      <c r="E411" s="12" t="s">
        <v>11</v>
      </c>
      <c r="F411" s="6">
        <v>45145</v>
      </c>
      <c r="G411" s="9" t="s">
        <v>36</v>
      </c>
      <c r="H411" s="9">
        <f t="shared" si="13"/>
        <v>21</v>
      </c>
      <c r="I411" s="9" t="s">
        <v>18</v>
      </c>
      <c r="J411" s="9" t="s">
        <v>36</v>
      </c>
      <c r="K411" s="19" t="s">
        <v>21</v>
      </c>
      <c r="L411" s="22">
        <v>2.67</v>
      </c>
      <c r="M411" s="22">
        <v>2.0990000000000002</v>
      </c>
      <c r="N411" t="s">
        <v>16</v>
      </c>
      <c r="O411" t="s">
        <v>48</v>
      </c>
    </row>
    <row r="412" spans="1:15" ht="16" x14ac:dyDescent="0.4">
      <c r="A412">
        <v>59</v>
      </c>
      <c r="B412" t="str">
        <f t="shared" si="12"/>
        <v>2023-08-28_0048</v>
      </c>
      <c r="C412" s="8">
        <v>45166</v>
      </c>
      <c r="D412" s="11">
        <v>48</v>
      </c>
      <c r="E412" s="12" t="s">
        <v>11</v>
      </c>
      <c r="F412" s="6">
        <v>45145</v>
      </c>
      <c r="G412" s="9" t="s">
        <v>36</v>
      </c>
      <c r="H412" s="9">
        <f t="shared" si="13"/>
        <v>21</v>
      </c>
      <c r="I412" s="9" t="s">
        <v>18</v>
      </c>
      <c r="J412" s="9" t="s">
        <v>36</v>
      </c>
      <c r="K412" s="22">
        <v>44.606999999999999</v>
      </c>
      <c r="L412" s="22">
        <v>2.7080000000000002</v>
      </c>
      <c r="M412" s="22">
        <v>2.2970000000000002</v>
      </c>
      <c r="N412" t="s">
        <v>16</v>
      </c>
      <c r="O412" t="s">
        <v>48</v>
      </c>
    </row>
    <row r="413" spans="1:15" ht="16" x14ac:dyDescent="0.4">
      <c r="A413">
        <v>59</v>
      </c>
      <c r="B413" t="str">
        <f t="shared" si="12"/>
        <v>2023-08-28_0049</v>
      </c>
      <c r="C413" s="8">
        <v>45166</v>
      </c>
      <c r="D413" s="11">
        <v>49</v>
      </c>
      <c r="E413" s="12" t="s">
        <v>11</v>
      </c>
      <c r="F413" s="6">
        <v>45123</v>
      </c>
      <c r="G413" s="9" t="s">
        <v>39</v>
      </c>
      <c r="H413" s="9">
        <f t="shared" si="13"/>
        <v>43</v>
      </c>
      <c r="I413" s="9" t="s">
        <v>38</v>
      </c>
      <c r="J413" s="9" t="s">
        <v>36</v>
      </c>
      <c r="K413" s="19" t="s">
        <v>21</v>
      </c>
      <c r="L413" s="22">
        <v>2.7759999999999998</v>
      </c>
      <c r="M413" s="22">
        <v>2.2170000000000001</v>
      </c>
      <c r="N413" t="s">
        <v>16</v>
      </c>
      <c r="O413" t="s">
        <v>50</v>
      </c>
    </row>
    <row r="414" spans="1:15" ht="16" x14ac:dyDescent="0.4">
      <c r="A414">
        <v>59</v>
      </c>
      <c r="B414" t="str">
        <f t="shared" si="12"/>
        <v>2023-08-28_0050</v>
      </c>
      <c r="C414" s="8">
        <v>45166</v>
      </c>
      <c r="D414" s="11">
        <v>50</v>
      </c>
      <c r="E414" s="12" t="s">
        <v>11</v>
      </c>
      <c r="F414" s="6">
        <v>45138</v>
      </c>
      <c r="G414" s="9" t="s">
        <v>36</v>
      </c>
      <c r="H414" s="9">
        <f t="shared" si="13"/>
        <v>28</v>
      </c>
      <c r="I414" s="9" t="s">
        <v>12</v>
      </c>
      <c r="J414" s="9" t="s">
        <v>36</v>
      </c>
      <c r="K414" s="19" t="s">
        <v>21</v>
      </c>
      <c r="L414" s="22">
        <v>2.6970000000000001</v>
      </c>
      <c r="M414" s="22">
        <v>2.2749999999999999</v>
      </c>
      <c r="N414" t="s">
        <v>16</v>
      </c>
      <c r="O414" t="s">
        <v>48</v>
      </c>
    </row>
    <row r="415" spans="1:15" ht="16" x14ac:dyDescent="0.4">
      <c r="A415">
        <v>59</v>
      </c>
      <c r="B415" t="str">
        <f t="shared" si="12"/>
        <v>2023-08-28_0051</v>
      </c>
      <c r="C415" s="8">
        <v>45166</v>
      </c>
      <c r="D415" s="11">
        <v>51</v>
      </c>
      <c r="E415" s="12" t="s">
        <v>11</v>
      </c>
      <c r="F415" s="6">
        <v>45128</v>
      </c>
      <c r="G415" s="9" t="s">
        <v>36</v>
      </c>
      <c r="H415" s="9">
        <f t="shared" si="13"/>
        <v>38</v>
      </c>
      <c r="I415" s="9" t="s">
        <v>37</v>
      </c>
      <c r="J415" s="9" t="s">
        <v>36</v>
      </c>
      <c r="K415" s="19" t="s">
        <v>21</v>
      </c>
      <c r="L415" s="22">
        <v>2.677</v>
      </c>
      <c r="M415" s="22">
        <v>2.3319999999999999</v>
      </c>
      <c r="N415" t="s">
        <v>14</v>
      </c>
      <c r="O415" t="s">
        <v>42</v>
      </c>
    </row>
    <row r="416" spans="1:15" ht="16" x14ac:dyDescent="0.4">
      <c r="A416">
        <v>59</v>
      </c>
      <c r="B416" t="str">
        <f t="shared" si="12"/>
        <v>2023-08-28_0052</v>
      </c>
      <c r="C416" s="8">
        <v>45166</v>
      </c>
      <c r="D416" s="11">
        <v>52</v>
      </c>
      <c r="E416" s="12" t="s">
        <v>15</v>
      </c>
      <c r="F416" s="6">
        <v>45141</v>
      </c>
      <c r="G416" s="9" t="s">
        <v>36</v>
      </c>
      <c r="H416" s="9">
        <f t="shared" si="13"/>
        <v>25</v>
      </c>
      <c r="I416" s="9" t="s">
        <v>18</v>
      </c>
      <c r="J416" s="9" t="s">
        <v>36</v>
      </c>
      <c r="K416" s="22">
        <v>43.706000000000003</v>
      </c>
      <c r="L416" s="22">
        <v>2.262</v>
      </c>
      <c r="M416" s="22">
        <v>1.9890000000000001</v>
      </c>
      <c r="N416" t="s">
        <v>14</v>
      </c>
      <c r="O416" t="s">
        <v>42</v>
      </c>
    </row>
    <row r="417" spans="1:15" ht="16" x14ac:dyDescent="0.4">
      <c r="A417">
        <v>59</v>
      </c>
      <c r="B417" t="str">
        <f t="shared" si="12"/>
        <v>2023-08-28_0053</v>
      </c>
      <c r="C417" s="8">
        <v>45166</v>
      </c>
      <c r="D417" s="11">
        <v>53</v>
      </c>
      <c r="E417" s="12" t="s">
        <v>11</v>
      </c>
      <c r="F417" s="6">
        <v>45143</v>
      </c>
      <c r="G417" s="9" t="s">
        <v>36</v>
      </c>
      <c r="H417" s="9">
        <f t="shared" si="13"/>
        <v>23</v>
      </c>
      <c r="I417" s="9" t="s">
        <v>18</v>
      </c>
      <c r="J417" s="9" t="s">
        <v>36</v>
      </c>
      <c r="K417" s="19" t="s">
        <v>21</v>
      </c>
      <c r="L417" s="22">
        <v>2.66</v>
      </c>
      <c r="M417" s="22">
        <v>2.1469999999999998</v>
      </c>
      <c r="N417" t="s">
        <v>16</v>
      </c>
      <c r="O417" t="s">
        <v>48</v>
      </c>
    </row>
    <row r="418" spans="1:15" ht="16" x14ac:dyDescent="0.4">
      <c r="A418">
        <v>59</v>
      </c>
      <c r="B418" t="str">
        <f t="shared" si="12"/>
        <v>2023-08-28_0054</v>
      </c>
      <c r="C418" s="8">
        <v>45166</v>
      </c>
      <c r="D418" s="11">
        <v>54</v>
      </c>
      <c r="E418" s="12" t="s">
        <v>11</v>
      </c>
      <c r="F418" s="6">
        <v>45128</v>
      </c>
      <c r="G418" s="9" t="s">
        <v>36</v>
      </c>
      <c r="H418" s="9">
        <f t="shared" si="13"/>
        <v>38</v>
      </c>
      <c r="I418" s="9" t="s">
        <v>37</v>
      </c>
      <c r="J418" s="9" t="s">
        <v>36</v>
      </c>
      <c r="K418" s="19" t="s">
        <v>21</v>
      </c>
      <c r="L418" s="22">
        <v>2.7010000000000001</v>
      </c>
      <c r="M418" s="22">
        <v>2.0720000000000001</v>
      </c>
      <c r="N418" t="s">
        <v>16</v>
      </c>
      <c r="O418" t="s">
        <v>48</v>
      </c>
    </row>
    <row r="419" spans="1:15" ht="16" x14ac:dyDescent="0.4">
      <c r="A419">
        <v>59</v>
      </c>
      <c r="B419" t="str">
        <f t="shared" si="12"/>
        <v>2023-08-28_0055</v>
      </c>
      <c r="C419" s="8">
        <v>45166</v>
      </c>
      <c r="D419" s="11">
        <v>55</v>
      </c>
      <c r="E419" s="12" t="s">
        <v>11</v>
      </c>
      <c r="F419" s="6" t="s">
        <v>21</v>
      </c>
      <c r="G419" s="9" t="s">
        <v>21</v>
      </c>
      <c r="H419" s="9" t="str">
        <f t="shared" si="13"/>
        <v>NA</v>
      </c>
      <c r="I419" s="9" t="s">
        <v>18</v>
      </c>
      <c r="J419" s="9" t="s">
        <v>36</v>
      </c>
      <c r="K419" s="22">
        <v>50.183</v>
      </c>
      <c r="L419" s="22">
        <v>2.956</v>
      </c>
      <c r="M419" s="22">
        <v>2.34</v>
      </c>
      <c r="N419" t="s">
        <v>16</v>
      </c>
      <c r="O419" t="s">
        <v>81</v>
      </c>
    </row>
    <row r="420" spans="1:15" ht="16" x14ac:dyDescent="0.4">
      <c r="A420">
        <v>59</v>
      </c>
      <c r="B420" t="str">
        <f t="shared" si="12"/>
        <v>2023-08-28_0056</v>
      </c>
      <c r="C420" s="8">
        <v>45166</v>
      </c>
      <c r="D420" s="11">
        <v>56</v>
      </c>
      <c r="E420" s="12" t="s">
        <v>11</v>
      </c>
      <c r="F420" s="6">
        <v>45141</v>
      </c>
      <c r="G420" s="9" t="s">
        <v>36</v>
      </c>
      <c r="H420" s="9">
        <f t="shared" si="13"/>
        <v>25</v>
      </c>
      <c r="I420" s="9" t="s">
        <v>18</v>
      </c>
      <c r="J420" s="9" t="s">
        <v>36</v>
      </c>
      <c r="K420" s="19" t="s">
        <v>21</v>
      </c>
      <c r="L420" s="22">
        <v>2.5259999999999998</v>
      </c>
      <c r="M420" s="22">
        <v>2.1230000000000002</v>
      </c>
      <c r="N420" t="s">
        <v>16</v>
      </c>
      <c r="O420" t="s">
        <v>48</v>
      </c>
    </row>
    <row r="421" spans="1:15" ht="16" x14ac:dyDescent="0.4">
      <c r="A421">
        <v>59</v>
      </c>
      <c r="B421" t="str">
        <f t="shared" si="12"/>
        <v>2023-08-28_0057</v>
      </c>
      <c r="C421" s="8">
        <v>45166</v>
      </c>
      <c r="D421" s="11">
        <v>57</v>
      </c>
      <c r="E421" s="12" t="s">
        <v>11</v>
      </c>
      <c r="F421" s="6">
        <v>45145</v>
      </c>
      <c r="G421" s="9" t="s">
        <v>36</v>
      </c>
      <c r="H421" s="9">
        <f t="shared" si="13"/>
        <v>21</v>
      </c>
      <c r="I421" s="9" t="s">
        <v>18</v>
      </c>
      <c r="J421" s="9" t="s">
        <v>36</v>
      </c>
      <c r="K421" s="19" t="s">
        <v>21</v>
      </c>
      <c r="L421" s="22">
        <v>2.8010000000000002</v>
      </c>
      <c r="M421" s="22">
        <v>2.2469999999999999</v>
      </c>
      <c r="N421" t="s">
        <v>16</v>
      </c>
      <c r="O421" t="s">
        <v>48</v>
      </c>
    </row>
    <row r="422" spans="1:15" ht="16" x14ac:dyDescent="0.4">
      <c r="A422">
        <v>59</v>
      </c>
      <c r="B422" t="str">
        <f t="shared" si="12"/>
        <v>2023-08-28_0058</v>
      </c>
      <c r="C422" s="8">
        <v>45166</v>
      </c>
      <c r="D422" s="11">
        <v>58</v>
      </c>
      <c r="E422" s="12" t="s">
        <v>11</v>
      </c>
      <c r="F422" s="6">
        <v>45139</v>
      </c>
      <c r="G422" s="9" t="s">
        <v>36</v>
      </c>
      <c r="H422" s="9">
        <f t="shared" si="13"/>
        <v>27</v>
      </c>
      <c r="I422" s="9" t="s">
        <v>38</v>
      </c>
      <c r="J422" s="9" t="s">
        <v>36</v>
      </c>
      <c r="K422" s="19" t="s">
        <v>21</v>
      </c>
      <c r="L422" s="22">
        <v>2.73</v>
      </c>
      <c r="M422" s="22">
        <v>2.0630000000000002</v>
      </c>
      <c r="N422" t="s">
        <v>16</v>
      </c>
      <c r="O422" t="s">
        <v>48</v>
      </c>
    </row>
    <row r="423" spans="1:15" ht="16" x14ac:dyDescent="0.4">
      <c r="A423">
        <v>59</v>
      </c>
      <c r="B423" t="str">
        <f t="shared" si="12"/>
        <v>2023-08-28_0059</v>
      </c>
      <c r="C423" s="8">
        <v>45166</v>
      </c>
      <c r="D423" s="11">
        <v>59</v>
      </c>
      <c r="E423" s="12" t="s">
        <v>11</v>
      </c>
      <c r="F423" s="6">
        <v>45141</v>
      </c>
      <c r="G423" s="9" t="s">
        <v>36</v>
      </c>
      <c r="H423" s="9">
        <f t="shared" si="13"/>
        <v>25</v>
      </c>
      <c r="I423" s="9" t="s">
        <v>12</v>
      </c>
      <c r="J423" s="9" t="s">
        <v>39</v>
      </c>
      <c r="K423" s="22">
        <v>48.722000000000001</v>
      </c>
      <c r="L423" s="22">
        <v>2.7029999999999998</v>
      </c>
      <c r="M423" s="22">
        <v>2.0880000000000001</v>
      </c>
      <c r="N423" t="s">
        <v>14</v>
      </c>
      <c r="O423" t="s">
        <v>66</v>
      </c>
    </row>
    <row r="424" spans="1:15" ht="16" x14ac:dyDescent="0.4">
      <c r="A424">
        <v>59</v>
      </c>
      <c r="B424" t="str">
        <f t="shared" si="12"/>
        <v>2023-08-28_0060</v>
      </c>
      <c r="C424" s="8">
        <v>45166</v>
      </c>
      <c r="D424" s="11">
        <v>60</v>
      </c>
      <c r="E424" s="12" t="s">
        <v>11</v>
      </c>
      <c r="F424" s="6">
        <v>45109</v>
      </c>
      <c r="G424" s="9" t="s">
        <v>36</v>
      </c>
      <c r="H424" s="9">
        <f t="shared" si="13"/>
        <v>57</v>
      </c>
      <c r="I424" s="9" t="s">
        <v>38</v>
      </c>
      <c r="J424" s="9" t="s">
        <v>36</v>
      </c>
      <c r="K424" s="22">
        <v>49.920999999999999</v>
      </c>
      <c r="L424" s="22">
        <v>2.8639999999999999</v>
      </c>
      <c r="M424" s="22">
        <v>2.4089999999999998</v>
      </c>
      <c r="N424" t="s">
        <v>14</v>
      </c>
      <c r="O424" t="s">
        <v>42</v>
      </c>
    </row>
    <row r="425" spans="1:15" ht="16" x14ac:dyDescent="0.4">
      <c r="A425">
        <v>59</v>
      </c>
      <c r="B425" t="str">
        <f t="shared" si="12"/>
        <v>2023-08-28_0061</v>
      </c>
      <c r="C425" s="8">
        <v>45166</v>
      </c>
      <c r="D425" s="11">
        <v>61</v>
      </c>
      <c r="E425" s="12" t="s">
        <v>11</v>
      </c>
      <c r="F425" s="6" t="s">
        <v>21</v>
      </c>
      <c r="G425" s="9" t="s">
        <v>21</v>
      </c>
      <c r="H425" s="9" t="str">
        <f t="shared" si="13"/>
        <v>NA</v>
      </c>
      <c r="I425" s="9" t="s">
        <v>38</v>
      </c>
      <c r="J425" s="9" t="s">
        <v>36</v>
      </c>
      <c r="K425" s="22">
        <v>44.170999999999999</v>
      </c>
      <c r="L425" s="22">
        <v>2.4790000000000001</v>
      </c>
      <c r="M425" s="22">
        <v>1.9870000000000001</v>
      </c>
      <c r="N425" t="s">
        <v>16</v>
      </c>
      <c r="O425" t="s">
        <v>81</v>
      </c>
    </row>
    <row r="426" spans="1:15" ht="16" x14ac:dyDescent="0.4">
      <c r="A426">
        <v>59</v>
      </c>
      <c r="B426" t="str">
        <f t="shared" si="12"/>
        <v>2023-08-28_0062</v>
      </c>
      <c r="C426" s="8">
        <v>45166</v>
      </c>
      <c r="D426" s="11">
        <v>62</v>
      </c>
      <c r="E426" s="12" t="s">
        <v>11</v>
      </c>
      <c r="F426" s="6">
        <v>45143</v>
      </c>
      <c r="G426" s="9" t="s">
        <v>36</v>
      </c>
      <c r="H426" s="9">
        <f t="shared" si="13"/>
        <v>23</v>
      </c>
      <c r="I426" s="9" t="s">
        <v>21</v>
      </c>
      <c r="J426" s="9" t="s">
        <v>21</v>
      </c>
      <c r="K426" s="19" t="s">
        <v>21</v>
      </c>
      <c r="L426" s="22">
        <v>2.762</v>
      </c>
      <c r="M426" s="22">
        <v>2.1640000000000001</v>
      </c>
      <c r="N426" t="s">
        <v>16</v>
      </c>
      <c r="O426" t="s">
        <v>82</v>
      </c>
    </row>
    <row r="427" spans="1:15" ht="16" x14ac:dyDescent="0.4">
      <c r="A427">
        <v>59</v>
      </c>
      <c r="B427" t="str">
        <f t="shared" si="12"/>
        <v>2023-08-28_0063</v>
      </c>
      <c r="C427" s="8">
        <v>45166</v>
      </c>
      <c r="D427" s="11">
        <v>63</v>
      </c>
      <c r="E427" s="12" t="s">
        <v>11</v>
      </c>
      <c r="F427" s="6">
        <v>45138</v>
      </c>
      <c r="G427" s="9" t="s">
        <v>39</v>
      </c>
      <c r="H427" s="9">
        <f t="shared" si="13"/>
        <v>28</v>
      </c>
      <c r="I427" s="9" t="s">
        <v>18</v>
      </c>
      <c r="J427" s="9" t="s">
        <v>39</v>
      </c>
      <c r="K427" s="22">
        <v>45.706000000000003</v>
      </c>
      <c r="L427" s="22">
        <v>2.4209999999999998</v>
      </c>
      <c r="M427" s="22">
        <v>2.1190000000000002</v>
      </c>
      <c r="N427" t="s">
        <v>16</v>
      </c>
      <c r="O427" t="s">
        <v>67</v>
      </c>
    </row>
    <row r="428" spans="1:15" ht="16" x14ac:dyDescent="0.4">
      <c r="A428">
        <v>59</v>
      </c>
      <c r="B428" t="str">
        <f t="shared" si="12"/>
        <v>2023-08-28_0064</v>
      </c>
      <c r="C428" s="8">
        <v>45166</v>
      </c>
      <c r="D428" s="11">
        <v>64</v>
      </c>
      <c r="E428" s="12" t="s">
        <v>11</v>
      </c>
      <c r="F428" s="6">
        <v>45141</v>
      </c>
      <c r="G428" s="9" t="s">
        <v>39</v>
      </c>
      <c r="H428" s="9">
        <f t="shared" si="13"/>
        <v>25</v>
      </c>
      <c r="I428" s="9" t="s">
        <v>18</v>
      </c>
      <c r="J428" s="9" t="s">
        <v>39</v>
      </c>
      <c r="K428" s="19" t="s">
        <v>21</v>
      </c>
      <c r="L428" s="22">
        <v>2.4710000000000001</v>
      </c>
      <c r="M428" s="22">
        <v>2.0499999999999998</v>
      </c>
      <c r="N428" t="s">
        <v>16</v>
      </c>
      <c r="O428" t="s">
        <v>67</v>
      </c>
    </row>
    <row r="429" spans="1:15" ht="16" x14ac:dyDescent="0.4">
      <c r="A429">
        <v>59</v>
      </c>
      <c r="B429" t="str">
        <f t="shared" si="12"/>
        <v>2023-08-28_0065</v>
      </c>
      <c r="C429" s="8">
        <v>45166</v>
      </c>
      <c r="D429" s="11">
        <v>65</v>
      </c>
      <c r="E429" s="12" t="s">
        <v>11</v>
      </c>
      <c r="F429" s="6">
        <v>45128</v>
      </c>
      <c r="G429" s="9" t="s">
        <v>39</v>
      </c>
      <c r="H429" s="9">
        <f t="shared" si="13"/>
        <v>38</v>
      </c>
      <c r="I429" s="9" t="s">
        <v>38</v>
      </c>
      <c r="J429" s="9" t="s">
        <v>36</v>
      </c>
      <c r="K429" s="19" t="s">
        <v>21</v>
      </c>
      <c r="L429" s="22">
        <v>2.677</v>
      </c>
      <c r="M429" s="22">
        <v>2.0720000000000001</v>
      </c>
      <c r="N429" t="s">
        <v>16</v>
      </c>
      <c r="O429" t="s">
        <v>83</v>
      </c>
    </row>
    <row r="430" spans="1:15" ht="16" x14ac:dyDescent="0.4">
      <c r="A430">
        <v>59</v>
      </c>
      <c r="B430" t="str">
        <f t="shared" si="12"/>
        <v>2023-08-28_0066</v>
      </c>
      <c r="C430" s="8">
        <v>45166</v>
      </c>
      <c r="D430" s="11">
        <v>66</v>
      </c>
      <c r="E430" s="12" t="s">
        <v>11</v>
      </c>
      <c r="F430" s="6" t="s">
        <v>21</v>
      </c>
      <c r="G430" s="9" t="s">
        <v>21</v>
      </c>
      <c r="H430" s="9" t="str">
        <f t="shared" si="13"/>
        <v>NA</v>
      </c>
      <c r="I430" s="9" t="s">
        <v>38</v>
      </c>
      <c r="J430" s="9" t="s">
        <v>36</v>
      </c>
      <c r="K430" s="19" t="s">
        <v>21</v>
      </c>
      <c r="L430" s="22">
        <v>2.78</v>
      </c>
      <c r="M430" s="22">
        <v>2.4220000000000002</v>
      </c>
      <c r="N430" t="s">
        <v>16</v>
      </c>
      <c r="O430" t="s">
        <v>81</v>
      </c>
    </row>
    <row r="431" spans="1:15" ht="16" x14ac:dyDescent="0.4">
      <c r="A431">
        <v>23</v>
      </c>
      <c r="B431" t="str">
        <f t="shared" si="12"/>
        <v>2023-08-25_0001</v>
      </c>
      <c r="C431" s="8">
        <v>45163</v>
      </c>
      <c r="D431" s="11">
        <v>1</v>
      </c>
      <c r="E431" s="12" t="s">
        <v>15</v>
      </c>
      <c r="F431" s="6">
        <v>45145</v>
      </c>
      <c r="G431" s="9" t="s">
        <v>36</v>
      </c>
      <c r="H431" s="9">
        <f t="shared" si="13"/>
        <v>18</v>
      </c>
      <c r="I431" s="9" t="s">
        <v>12</v>
      </c>
      <c r="J431" s="9" t="s">
        <v>36</v>
      </c>
      <c r="K431" s="19">
        <v>49.779000000000003</v>
      </c>
      <c r="L431" s="22">
        <v>2.548</v>
      </c>
      <c r="M431" s="22">
        <v>2.1629999999999998</v>
      </c>
      <c r="N431" t="s">
        <v>14</v>
      </c>
    </row>
    <row r="432" spans="1:15" ht="16" x14ac:dyDescent="0.4">
      <c r="A432">
        <v>23</v>
      </c>
      <c r="B432" t="str">
        <f t="shared" si="12"/>
        <v>2023-08-25_0002</v>
      </c>
      <c r="C432" s="8">
        <v>45163</v>
      </c>
      <c r="D432" s="11">
        <v>2</v>
      </c>
      <c r="E432" s="12" t="s">
        <v>15</v>
      </c>
      <c r="F432" s="6">
        <v>45129</v>
      </c>
      <c r="G432" s="9" t="s">
        <v>36</v>
      </c>
      <c r="H432" s="9">
        <f t="shared" si="13"/>
        <v>34</v>
      </c>
      <c r="I432" s="9" t="s">
        <v>37</v>
      </c>
      <c r="J432" s="9" t="s">
        <v>36</v>
      </c>
      <c r="K432" s="19">
        <v>46.921999999999997</v>
      </c>
      <c r="L432" s="22">
        <v>2.5859999999999999</v>
      </c>
      <c r="M432" s="22">
        <v>2.1440000000000001</v>
      </c>
      <c r="N432" t="s">
        <v>14</v>
      </c>
    </row>
    <row r="433" spans="1:15" ht="16" x14ac:dyDescent="0.4">
      <c r="A433">
        <v>23</v>
      </c>
      <c r="B433" t="str">
        <f t="shared" si="12"/>
        <v>2023-08-25_0003</v>
      </c>
      <c r="C433" s="8">
        <v>45163</v>
      </c>
      <c r="D433" s="11">
        <v>3</v>
      </c>
      <c r="E433" s="12" t="s">
        <v>11</v>
      </c>
      <c r="F433" s="6">
        <v>45129</v>
      </c>
      <c r="G433" s="9" t="s">
        <v>36</v>
      </c>
      <c r="H433" s="9">
        <f t="shared" si="13"/>
        <v>34</v>
      </c>
      <c r="I433" s="9" t="s">
        <v>17</v>
      </c>
      <c r="J433" s="9" t="s">
        <v>36</v>
      </c>
      <c r="K433" s="19">
        <v>44.923000000000002</v>
      </c>
      <c r="L433" s="22">
        <v>2.5790000000000002</v>
      </c>
      <c r="M433" s="22">
        <v>2.0609999999999999</v>
      </c>
      <c r="N433" t="s">
        <v>14</v>
      </c>
    </row>
    <row r="434" spans="1:15" ht="16" x14ac:dyDescent="0.4">
      <c r="A434">
        <v>23</v>
      </c>
      <c r="B434" t="str">
        <f t="shared" si="12"/>
        <v>2023-08-25_0004</v>
      </c>
      <c r="C434" s="8">
        <v>45163</v>
      </c>
      <c r="D434" s="11">
        <v>4</v>
      </c>
      <c r="E434" s="12" t="s">
        <v>15</v>
      </c>
      <c r="F434" s="6">
        <v>45138</v>
      </c>
      <c r="G434" s="9" t="s">
        <v>36</v>
      </c>
      <c r="H434" s="9">
        <f t="shared" si="13"/>
        <v>25</v>
      </c>
      <c r="I434" s="9" t="s">
        <v>37</v>
      </c>
      <c r="J434" s="9" t="s">
        <v>36</v>
      </c>
      <c r="K434" s="19">
        <v>47.015000000000001</v>
      </c>
      <c r="L434" s="22">
        <v>2.4260000000000002</v>
      </c>
      <c r="M434" s="22">
        <v>2.1190000000000002</v>
      </c>
      <c r="N434" t="s">
        <v>14</v>
      </c>
    </row>
    <row r="435" spans="1:15" ht="16" x14ac:dyDescent="0.4">
      <c r="A435">
        <v>23</v>
      </c>
      <c r="B435" t="str">
        <f t="shared" si="12"/>
        <v>2023-08-25_0005</v>
      </c>
      <c r="C435" s="8">
        <v>45163</v>
      </c>
      <c r="D435" s="11">
        <v>5</v>
      </c>
      <c r="E435" s="12" t="s">
        <v>15</v>
      </c>
      <c r="F435" s="6">
        <v>45135</v>
      </c>
      <c r="G435" s="9" t="s">
        <v>36</v>
      </c>
      <c r="H435" s="9">
        <f t="shared" si="13"/>
        <v>28</v>
      </c>
      <c r="I435" s="9" t="s">
        <v>37</v>
      </c>
      <c r="J435" s="9" t="s">
        <v>36</v>
      </c>
      <c r="K435" s="19">
        <v>46.91</v>
      </c>
      <c r="L435" s="22">
        <v>2.4289999999999998</v>
      </c>
      <c r="M435" s="22">
        <v>2.044</v>
      </c>
      <c r="N435" t="s">
        <v>14</v>
      </c>
    </row>
    <row r="436" spans="1:15" ht="16" x14ac:dyDescent="0.4">
      <c r="A436">
        <v>23</v>
      </c>
      <c r="B436" t="str">
        <f t="shared" si="12"/>
        <v>2023-08-25_0006</v>
      </c>
      <c r="C436" s="8">
        <v>45163</v>
      </c>
      <c r="D436" s="11">
        <v>6</v>
      </c>
      <c r="E436" s="12" t="s">
        <v>11</v>
      </c>
      <c r="F436" s="6">
        <v>45141</v>
      </c>
      <c r="G436" s="9" t="s">
        <v>39</v>
      </c>
      <c r="H436" s="9">
        <f t="shared" si="13"/>
        <v>22</v>
      </c>
      <c r="I436" s="9" t="s">
        <v>18</v>
      </c>
      <c r="J436" s="9" t="s">
        <v>36</v>
      </c>
      <c r="K436" s="19">
        <v>39.604999999999997</v>
      </c>
      <c r="L436" s="22">
        <v>2.306</v>
      </c>
      <c r="M436" s="22">
        <v>1.9570000000000001</v>
      </c>
      <c r="N436" t="s">
        <v>14</v>
      </c>
      <c r="O436" t="s">
        <v>84</v>
      </c>
    </row>
    <row r="437" spans="1:15" ht="16" x14ac:dyDescent="0.4">
      <c r="A437">
        <v>23</v>
      </c>
      <c r="B437" t="str">
        <f t="shared" si="12"/>
        <v>2023-08-25_0007</v>
      </c>
      <c r="C437" s="8">
        <v>45163</v>
      </c>
      <c r="D437" s="11">
        <v>7</v>
      </c>
      <c r="E437" s="12" t="s">
        <v>11</v>
      </c>
      <c r="F437" s="6">
        <v>45143</v>
      </c>
      <c r="G437" s="9" t="s">
        <v>36</v>
      </c>
      <c r="H437" s="9">
        <f t="shared" si="13"/>
        <v>20</v>
      </c>
      <c r="I437" s="9" t="s">
        <v>12</v>
      </c>
      <c r="J437" s="9" t="s">
        <v>36</v>
      </c>
      <c r="K437" s="19">
        <v>43.622999999999998</v>
      </c>
      <c r="L437" s="22">
        <v>2.6230000000000002</v>
      </c>
      <c r="M437" s="22">
        <v>2.1059999999999999</v>
      </c>
      <c r="N437" t="s">
        <v>14</v>
      </c>
      <c r="O437" t="s">
        <v>85</v>
      </c>
    </row>
    <row r="438" spans="1:15" ht="16" x14ac:dyDescent="0.4">
      <c r="A438">
        <v>23</v>
      </c>
      <c r="B438" t="str">
        <f t="shared" si="12"/>
        <v>2023-08-25_0008</v>
      </c>
      <c r="C438" s="8">
        <v>45163</v>
      </c>
      <c r="D438" s="11">
        <v>8</v>
      </c>
      <c r="E438" s="12" t="s">
        <v>15</v>
      </c>
      <c r="F438" s="6">
        <v>45141</v>
      </c>
      <c r="G438" s="9" t="s">
        <v>39</v>
      </c>
      <c r="H438" s="9">
        <f t="shared" si="13"/>
        <v>22</v>
      </c>
      <c r="I438" s="9" t="s">
        <v>12</v>
      </c>
      <c r="J438" s="9" t="s">
        <v>36</v>
      </c>
      <c r="K438" s="19">
        <v>41.146999999999998</v>
      </c>
      <c r="L438" s="22">
        <v>2.2789999999999999</v>
      </c>
      <c r="M438" s="22">
        <v>1.8220000000000001</v>
      </c>
      <c r="N438" t="s">
        <v>14</v>
      </c>
      <c r="O438" t="s">
        <v>40</v>
      </c>
    </row>
    <row r="439" spans="1:15" ht="16" x14ac:dyDescent="0.4">
      <c r="A439">
        <v>23</v>
      </c>
      <c r="B439" t="str">
        <f t="shared" si="12"/>
        <v>2023-08-25_0009</v>
      </c>
      <c r="C439" s="8">
        <v>45163</v>
      </c>
      <c r="D439" s="11">
        <v>9</v>
      </c>
      <c r="E439" s="12" t="s">
        <v>15</v>
      </c>
      <c r="F439" s="6">
        <v>45108</v>
      </c>
      <c r="G439" s="9" t="s">
        <v>36</v>
      </c>
      <c r="H439" s="9">
        <f t="shared" si="13"/>
        <v>55</v>
      </c>
      <c r="I439" s="9" t="s">
        <v>37</v>
      </c>
      <c r="J439" s="9" t="s">
        <v>36</v>
      </c>
      <c r="K439" s="19">
        <v>47.122</v>
      </c>
      <c r="L439" s="22">
        <v>2.5350000000000001</v>
      </c>
      <c r="M439" s="22">
        <v>2.1800000000000002</v>
      </c>
      <c r="N439" t="s">
        <v>14</v>
      </c>
    </row>
    <row r="440" spans="1:15" ht="16" x14ac:dyDescent="0.4">
      <c r="A440">
        <v>24</v>
      </c>
      <c r="B440" t="str">
        <f t="shared" si="12"/>
        <v>2023-08-25_0010</v>
      </c>
      <c r="C440" s="8">
        <v>45163</v>
      </c>
      <c r="D440" s="11">
        <v>10</v>
      </c>
      <c r="E440" s="12" t="s">
        <v>11</v>
      </c>
      <c r="F440" s="6">
        <v>45138</v>
      </c>
      <c r="G440" s="9" t="s">
        <v>36</v>
      </c>
      <c r="H440" s="9">
        <f t="shared" si="13"/>
        <v>25</v>
      </c>
      <c r="I440" s="9" t="s">
        <v>37</v>
      </c>
      <c r="J440" s="9" t="s">
        <v>36</v>
      </c>
      <c r="K440" s="19">
        <v>42.503999999999998</v>
      </c>
      <c r="L440" s="22">
        <v>2.42</v>
      </c>
      <c r="M440" s="22">
        <v>2.0230000000000001</v>
      </c>
      <c r="N440" t="s">
        <v>14</v>
      </c>
      <c r="O440" t="s">
        <v>42</v>
      </c>
    </row>
    <row r="441" spans="1:15" ht="16" x14ac:dyDescent="0.4">
      <c r="A441">
        <v>24</v>
      </c>
      <c r="B441" t="str">
        <f t="shared" si="12"/>
        <v>2023-08-25_0011</v>
      </c>
      <c r="C441" s="8">
        <v>45163</v>
      </c>
      <c r="D441" s="11">
        <v>11</v>
      </c>
      <c r="E441" s="12" t="s">
        <v>15</v>
      </c>
      <c r="F441" s="6">
        <v>45141</v>
      </c>
      <c r="G441" s="9" t="s">
        <v>36</v>
      </c>
      <c r="H441" s="9">
        <f t="shared" si="13"/>
        <v>22</v>
      </c>
      <c r="I441" s="9" t="s">
        <v>18</v>
      </c>
      <c r="J441" s="9" t="s">
        <v>36</v>
      </c>
      <c r="K441" s="19">
        <v>45.033000000000001</v>
      </c>
      <c r="L441" s="22">
        <v>2.319</v>
      </c>
      <c r="M441" s="22">
        <v>1.9890000000000001</v>
      </c>
      <c r="N441" t="s">
        <v>14</v>
      </c>
    </row>
    <row r="442" spans="1:15" ht="16" x14ac:dyDescent="0.4">
      <c r="A442">
        <v>24</v>
      </c>
      <c r="B442" t="str">
        <f t="shared" si="12"/>
        <v>2023-08-25_0012</v>
      </c>
      <c r="C442" s="8">
        <v>45163</v>
      </c>
      <c r="D442" s="11">
        <v>12</v>
      </c>
      <c r="E442" s="12" t="s">
        <v>11</v>
      </c>
      <c r="F442" s="6">
        <v>45147</v>
      </c>
      <c r="G442" s="9" t="s">
        <v>39</v>
      </c>
      <c r="H442" s="9">
        <f t="shared" si="13"/>
        <v>16</v>
      </c>
      <c r="I442" s="9" t="s">
        <v>18</v>
      </c>
      <c r="J442" s="9" t="s">
        <v>36</v>
      </c>
      <c r="K442" s="19">
        <v>43.066000000000003</v>
      </c>
      <c r="L442" s="22">
        <v>2.427</v>
      </c>
      <c r="M442" s="22">
        <v>1.992</v>
      </c>
      <c r="N442" t="s">
        <v>14</v>
      </c>
    </row>
    <row r="443" spans="1:15" ht="16" x14ac:dyDescent="0.4">
      <c r="A443">
        <v>24</v>
      </c>
      <c r="B443" t="str">
        <f t="shared" si="12"/>
        <v>2023-08-25_0013</v>
      </c>
      <c r="C443" s="8">
        <v>45163</v>
      </c>
      <c r="D443" s="11">
        <v>13</v>
      </c>
      <c r="E443" s="12" t="s">
        <v>11</v>
      </c>
      <c r="F443" s="6">
        <v>45128</v>
      </c>
      <c r="G443" s="9" t="s">
        <v>39</v>
      </c>
      <c r="H443" s="9">
        <f t="shared" si="13"/>
        <v>35</v>
      </c>
      <c r="I443" s="9" t="s">
        <v>37</v>
      </c>
      <c r="J443" s="9" t="s">
        <v>36</v>
      </c>
      <c r="K443" s="19">
        <v>44.078000000000003</v>
      </c>
      <c r="L443" s="22">
        <v>2.577</v>
      </c>
      <c r="M443" s="22">
        <v>2.0779999999999998</v>
      </c>
      <c r="N443" t="s">
        <v>14</v>
      </c>
      <c r="O443" t="s">
        <v>42</v>
      </c>
    </row>
    <row r="444" spans="1:15" ht="16" x14ac:dyDescent="0.4">
      <c r="A444">
        <v>24</v>
      </c>
      <c r="B444" t="str">
        <f t="shared" si="12"/>
        <v>2023-08-25_0014</v>
      </c>
      <c r="C444" s="8">
        <v>45163</v>
      </c>
      <c r="D444" s="11">
        <v>14</v>
      </c>
      <c r="E444" s="12" t="s">
        <v>11</v>
      </c>
      <c r="F444" s="6">
        <v>45143</v>
      </c>
      <c r="G444" s="9" t="s">
        <v>36</v>
      </c>
      <c r="H444" s="9">
        <f t="shared" si="13"/>
        <v>20</v>
      </c>
      <c r="I444" s="9" t="s">
        <v>12</v>
      </c>
      <c r="J444" s="9" t="s">
        <v>36</v>
      </c>
      <c r="K444" s="19">
        <v>46.070999999999998</v>
      </c>
      <c r="L444" s="22">
        <v>2.6059999999999999</v>
      </c>
      <c r="M444" s="22">
        <v>2.1619999999999999</v>
      </c>
      <c r="N444" t="s">
        <v>14</v>
      </c>
    </row>
    <row r="445" spans="1:15" ht="16" x14ac:dyDescent="0.4">
      <c r="A445">
        <v>24</v>
      </c>
      <c r="B445" t="str">
        <f t="shared" si="12"/>
        <v>2023-08-25_0015</v>
      </c>
      <c r="C445" s="8">
        <v>45163</v>
      </c>
      <c r="D445" s="11">
        <v>15</v>
      </c>
      <c r="E445" s="12" t="s">
        <v>11</v>
      </c>
      <c r="F445" s="6">
        <v>45128</v>
      </c>
      <c r="G445" s="9" t="s">
        <v>36</v>
      </c>
      <c r="H445" s="9">
        <f t="shared" si="13"/>
        <v>35</v>
      </c>
      <c r="I445" s="9" t="s">
        <v>37</v>
      </c>
      <c r="J445" s="9" t="s">
        <v>39</v>
      </c>
      <c r="K445" s="19">
        <v>46.347999999999999</v>
      </c>
      <c r="L445" s="22">
        <v>2.617</v>
      </c>
      <c r="M445" s="22">
        <v>2.1629999999999998</v>
      </c>
      <c r="N445" t="s">
        <v>14</v>
      </c>
      <c r="O445" t="s">
        <v>41</v>
      </c>
    </row>
    <row r="446" spans="1:15" ht="16" x14ac:dyDescent="0.4">
      <c r="A446">
        <v>24</v>
      </c>
      <c r="B446" t="str">
        <f t="shared" si="12"/>
        <v>2023-08-25_0016</v>
      </c>
      <c r="C446" s="8">
        <v>45163</v>
      </c>
      <c r="D446" s="11">
        <v>16</v>
      </c>
      <c r="E446" s="12" t="s">
        <v>11</v>
      </c>
      <c r="F446" s="6" t="s">
        <v>21</v>
      </c>
      <c r="G446" s="9" t="s">
        <v>21</v>
      </c>
      <c r="H446" s="9" t="str">
        <f t="shared" si="13"/>
        <v>NA</v>
      </c>
      <c r="I446" s="9" t="s">
        <v>37</v>
      </c>
      <c r="J446" s="9" t="s">
        <v>39</v>
      </c>
      <c r="K446" s="19" t="s">
        <v>21</v>
      </c>
      <c r="L446" s="22">
        <v>2.4319999999999999</v>
      </c>
      <c r="M446" s="22">
        <v>1.9930000000000001</v>
      </c>
      <c r="N446" t="s">
        <v>16</v>
      </c>
      <c r="O446" t="s">
        <v>86</v>
      </c>
    </row>
    <row r="447" spans="1:15" ht="16" x14ac:dyDescent="0.4">
      <c r="A447">
        <v>24</v>
      </c>
      <c r="B447" t="str">
        <f t="shared" si="12"/>
        <v>2023-08-25_0017</v>
      </c>
      <c r="C447" s="8">
        <v>45163</v>
      </c>
      <c r="D447" s="11">
        <v>17</v>
      </c>
      <c r="E447" s="12" t="s">
        <v>11</v>
      </c>
      <c r="F447" s="6">
        <v>45129</v>
      </c>
      <c r="G447" s="9" t="s">
        <v>36</v>
      </c>
      <c r="H447" s="9">
        <f t="shared" si="13"/>
        <v>34</v>
      </c>
      <c r="I447" s="9" t="s">
        <v>37</v>
      </c>
      <c r="J447" s="9" t="s">
        <v>36</v>
      </c>
      <c r="K447" s="19" t="s">
        <v>21</v>
      </c>
      <c r="L447" s="22">
        <v>2.4689999999999999</v>
      </c>
      <c r="M447" s="22">
        <v>2.0070000000000001</v>
      </c>
      <c r="N447" t="s">
        <v>16</v>
      </c>
      <c r="O447" t="s">
        <v>87</v>
      </c>
    </row>
    <row r="448" spans="1:15" ht="16" x14ac:dyDescent="0.4">
      <c r="A448">
        <v>24</v>
      </c>
      <c r="B448" t="str">
        <f t="shared" si="12"/>
        <v>2023-08-25_0018</v>
      </c>
      <c r="C448" s="8">
        <v>45163</v>
      </c>
      <c r="D448" s="11">
        <v>18</v>
      </c>
      <c r="E448" s="12" t="s">
        <v>11</v>
      </c>
      <c r="F448" s="6">
        <v>45129</v>
      </c>
      <c r="G448" s="9" t="s">
        <v>36</v>
      </c>
      <c r="H448" s="9">
        <f t="shared" si="13"/>
        <v>34</v>
      </c>
      <c r="I448" s="9" t="s">
        <v>18</v>
      </c>
      <c r="J448" s="9" t="s">
        <v>36</v>
      </c>
      <c r="K448" s="19" t="s">
        <v>21</v>
      </c>
      <c r="L448" s="22">
        <v>2.391</v>
      </c>
      <c r="M448" s="22">
        <v>1.9990000000000001</v>
      </c>
      <c r="N448" t="s">
        <v>16</v>
      </c>
      <c r="O448" t="s">
        <v>88</v>
      </c>
    </row>
    <row r="449" spans="1:15" ht="16" x14ac:dyDescent="0.4">
      <c r="A449">
        <v>49</v>
      </c>
      <c r="B449" t="str">
        <f t="shared" si="12"/>
        <v>2023-08-24_0001</v>
      </c>
      <c r="C449" s="8">
        <v>45162</v>
      </c>
      <c r="D449" s="11">
        <v>1</v>
      </c>
      <c r="E449" s="12" t="s">
        <v>15</v>
      </c>
      <c r="F449" s="6">
        <v>45128</v>
      </c>
      <c r="G449" s="9" t="s">
        <v>36</v>
      </c>
      <c r="H449" s="9">
        <f t="shared" si="13"/>
        <v>34</v>
      </c>
      <c r="I449" s="9" t="s">
        <v>18</v>
      </c>
      <c r="J449" s="9" t="s">
        <v>36</v>
      </c>
      <c r="K449" s="19">
        <v>46.926000000000002</v>
      </c>
      <c r="L449" s="22">
        <v>2.6059999999999999</v>
      </c>
      <c r="M449" s="22">
        <v>2.3220000000000001</v>
      </c>
      <c r="N449" t="s">
        <v>14</v>
      </c>
    </row>
    <row r="450" spans="1:15" ht="16" x14ac:dyDescent="0.4">
      <c r="A450">
        <v>49</v>
      </c>
      <c r="B450" t="str">
        <f t="shared" ref="B450:B513" si="14">IF(ISBLANK(C450),NA(),_xlfn.CONCAT(TEXT(C450,"YYYY-MM-DD"),"_",TEXT(D450,"0000")))</f>
        <v>2023-08-24_0002</v>
      </c>
      <c r="C450" s="8">
        <v>45162</v>
      </c>
      <c r="D450" s="11">
        <v>2</v>
      </c>
      <c r="E450" s="12" t="s">
        <v>15</v>
      </c>
      <c r="F450" s="6">
        <v>45131</v>
      </c>
      <c r="G450" s="9" t="s">
        <v>36</v>
      </c>
      <c r="H450" s="9">
        <f t="shared" ref="H450:H513" si="15">IF(F450="NA","NA", DATEDIF(F450,C450,"d"))</f>
        <v>31</v>
      </c>
      <c r="I450" s="9" t="s">
        <v>12</v>
      </c>
      <c r="J450" s="9" t="s">
        <v>36</v>
      </c>
      <c r="K450" s="19">
        <v>45.698</v>
      </c>
      <c r="L450" s="22">
        <v>2.4820000000000002</v>
      </c>
      <c r="M450" s="22">
        <v>2.1949999999999998</v>
      </c>
      <c r="N450" t="s">
        <v>14</v>
      </c>
    </row>
    <row r="451" spans="1:15" ht="16" x14ac:dyDescent="0.4">
      <c r="A451">
        <v>49</v>
      </c>
      <c r="B451" t="str">
        <f t="shared" si="14"/>
        <v>2023-08-24_0003</v>
      </c>
      <c r="C451" s="8">
        <v>45162</v>
      </c>
      <c r="D451" s="11">
        <v>3</v>
      </c>
      <c r="E451" s="12" t="s">
        <v>11</v>
      </c>
      <c r="F451" s="6">
        <v>45156</v>
      </c>
      <c r="G451" s="9" t="s">
        <v>36</v>
      </c>
      <c r="H451" s="9">
        <f t="shared" si="15"/>
        <v>6</v>
      </c>
      <c r="I451" s="9" t="s">
        <v>18</v>
      </c>
      <c r="J451" s="9" t="s">
        <v>36</v>
      </c>
      <c r="K451" s="19">
        <v>43.972000000000001</v>
      </c>
      <c r="L451" s="22">
        <v>2.5510000000000002</v>
      </c>
      <c r="M451" s="22">
        <v>2.2320000000000002</v>
      </c>
      <c r="N451" t="s">
        <v>14</v>
      </c>
    </row>
    <row r="452" spans="1:15" ht="16" x14ac:dyDescent="0.4">
      <c r="A452">
        <v>49</v>
      </c>
      <c r="B452" t="str">
        <f t="shared" si="14"/>
        <v>2023-08-24_0004</v>
      </c>
      <c r="C452" s="8">
        <v>45162</v>
      </c>
      <c r="D452" s="11">
        <v>4</v>
      </c>
      <c r="E452" s="12" t="s">
        <v>15</v>
      </c>
      <c r="F452" s="6">
        <v>45154</v>
      </c>
      <c r="G452" s="9" t="s">
        <v>39</v>
      </c>
      <c r="H452" s="9">
        <f t="shared" si="15"/>
        <v>8</v>
      </c>
      <c r="I452" s="9" t="s">
        <v>12</v>
      </c>
      <c r="J452" s="9" t="s">
        <v>36</v>
      </c>
      <c r="K452" s="19">
        <v>40.667000000000002</v>
      </c>
      <c r="L452" s="22">
        <v>2.2400000000000002</v>
      </c>
      <c r="M452" s="22">
        <v>2.0009999999999999</v>
      </c>
      <c r="N452" t="s">
        <v>14</v>
      </c>
      <c r="O452" t="s">
        <v>40</v>
      </c>
    </row>
    <row r="453" spans="1:15" ht="16" x14ac:dyDescent="0.4">
      <c r="A453">
        <v>49</v>
      </c>
      <c r="B453" t="str">
        <f t="shared" si="14"/>
        <v>2023-08-24_0005</v>
      </c>
      <c r="C453" s="8">
        <v>45162</v>
      </c>
      <c r="D453" s="11">
        <v>5</v>
      </c>
      <c r="E453" s="12" t="s">
        <v>15</v>
      </c>
      <c r="F453" s="6">
        <v>45136</v>
      </c>
      <c r="G453" s="9" t="s">
        <v>36</v>
      </c>
      <c r="H453" s="9">
        <f t="shared" si="15"/>
        <v>26</v>
      </c>
      <c r="I453" s="9" t="s">
        <v>37</v>
      </c>
      <c r="J453" s="9" t="s">
        <v>36</v>
      </c>
      <c r="K453" s="19">
        <v>44.048999999999999</v>
      </c>
      <c r="L453" s="22">
        <v>2.4790000000000001</v>
      </c>
      <c r="M453" s="22">
        <v>2.1320000000000001</v>
      </c>
      <c r="N453" t="s">
        <v>14</v>
      </c>
    </row>
    <row r="454" spans="1:15" ht="16" x14ac:dyDescent="0.4">
      <c r="A454">
        <v>49</v>
      </c>
      <c r="B454" t="str">
        <f t="shared" si="14"/>
        <v>2023-08-24_0006</v>
      </c>
      <c r="C454" s="8">
        <v>45162</v>
      </c>
      <c r="D454" s="11">
        <v>6</v>
      </c>
      <c r="E454" s="12" t="s">
        <v>11</v>
      </c>
      <c r="F454" s="6">
        <v>45143</v>
      </c>
      <c r="G454" s="9" t="s">
        <v>36</v>
      </c>
      <c r="H454" s="9">
        <f t="shared" si="15"/>
        <v>19</v>
      </c>
      <c r="I454" s="9" t="s">
        <v>12</v>
      </c>
      <c r="J454" s="9" t="s">
        <v>36</v>
      </c>
      <c r="K454" s="19">
        <v>45.868000000000002</v>
      </c>
      <c r="L454" s="22">
        <v>2.677</v>
      </c>
      <c r="M454" s="22">
        <v>2.1030000000000002</v>
      </c>
      <c r="N454" t="s">
        <v>14</v>
      </c>
    </row>
    <row r="455" spans="1:15" ht="16" x14ac:dyDescent="0.4">
      <c r="A455">
        <v>49</v>
      </c>
      <c r="B455" t="str">
        <f t="shared" si="14"/>
        <v>2023-08-24_0007</v>
      </c>
      <c r="C455" s="8">
        <v>45162</v>
      </c>
      <c r="D455" s="11">
        <v>7</v>
      </c>
      <c r="E455" s="12" t="s">
        <v>15</v>
      </c>
      <c r="F455" s="6">
        <v>45141</v>
      </c>
      <c r="G455" s="9" t="s">
        <v>36</v>
      </c>
      <c r="H455" s="9">
        <f t="shared" si="15"/>
        <v>21</v>
      </c>
      <c r="I455" s="9" t="s">
        <v>18</v>
      </c>
      <c r="J455" s="9" t="s">
        <v>36</v>
      </c>
      <c r="K455" s="19">
        <v>46.011000000000003</v>
      </c>
      <c r="L455" s="22">
        <v>2.694</v>
      </c>
      <c r="M455" s="22">
        <v>2.2919999999999998</v>
      </c>
      <c r="N455" t="s">
        <v>14</v>
      </c>
    </row>
    <row r="456" spans="1:15" ht="16" x14ac:dyDescent="0.4">
      <c r="A456">
        <v>49</v>
      </c>
      <c r="B456" t="str">
        <f t="shared" si="14"/>
        <v>2023-08-24_0008</v>
      </c>
      <c r="C456" s="8">
        <v>45162</v>
      </c>
      <c r="D456" s="11">
        <v>8</v>
      </c>
      <c r="E456" s="12" t="s">
        <v>15</v>
      </c>
      <c r="F456" s="6">
        <v>45121</v>
      </c>
      <c r="G456" s="9" t="s">
        <v>36</v>
      </c>
      <c r="H456" s="9">
        <f t="shared" si="15"/>
        <v>41</v>
      </c>
      <c r="I456" s="9" t="s">
        <v>38</v>
      </c>
      <c r="J456" s="9" t="s">
        <v>36</v>
      </c>
      <c r="K456" s="19">
        <v>46.289000000000001</v>
      </c>
      <c r="L456" s="22">
        <v>2.508</v>
      </c>
      <c r="M456" s="22">
        <v>2.048</v>
      </c>
      <c r="N456" t="s">
        <v>14</v>
      </c>
    </row>
    <row r="457" spans="1:15" ht="16" x14ac:dyDescent="0.4">
      <c r="A457">
        <v>49</v>
      </c>
      <c r="B457" t="str">
        <f t="shared" si="14"/>
        <v>2023-08-24_0009</v>
      </c>
      <c r="C457" s="8">
        <v>45162</v>
      </c>
      <c r="D457" s="11">
        <v>9</v>
      </c>
      <c r="E457" s="12" t="s">
        <v>15</v>
      </c>
      <c r="F457" s="6">
        <v>45128</v>
      </c>
      <c r="G457" s="9" t="s">
        <v>36</v>
      </c>
      <c r="H457" s="9">
        <f t="shared" si="15"/>
        <v>34</v>
      </c>
      <c r="I457" s="9" t="s">
        <v>38</v>
      </c>
      <c r="J457" s="9" t="s">
        <v>36</v>
      </c>
      <c r="K457" s="19">
        <v>45.661999999999999</v>
      </c>
      <c r="L457" s="22">
        <v>2.694</v>
      </c>
      <c r="M457" s="22">
        <v>2.2989999999999999</v>
      </c>
      <c r="N457" t="s">
        <v>14</v>
      </c>
    </row>
    <row r="458" spans="1:15" ht="16" x14ac:dyDescent="0.4">
      <c r="A458">
        <v>49</v>
      </c>
      <c r="B458" t="str">
        <f t="shared" si="14"/>
        <v>2023-08-24_0010</v>
      </c>
      <c r="C458" s="8">
        <v>45162</v>
      </c>
      <c r="D458" s="11">
        <v>10</v>
      </c>
      <c r="E458" s="12" t="s">
        <v>11</v>
      </c>
      <c r="F458" s="6">
        <v>45126</v>
      </c>
      <c r="G458" s="9" t="s">
        <v>36</v>
      </c>
      <c r="H458" s="9">
        <f t="shared" si="15"/>
        <v>36</v>
      </c>
      <c r="I458" s="9" t="s">
        <v>37</v>
      </c>
      <c r="J458" s="9" t="s">
        <v>36</v>
      </c>
      <c r="K458" s="19">
        <v>43.701000000000001</v>
      </c>
      <c r="L458" s="22">
        <v>2.5960000000000001</v>
      </c>
      <c r="M458" s="22">
        <v>2.11</v>
      </c>
      <c r="N458" t="s">
        <v>14</v>
      </c>
    </row>
    <row r="459" spans="1:15" ht="16" x14ac:dyDescent="0.4">
      <c r="A459">
        <v>50</v>
      </c>
      <c r="B459" t="str">
        <f t="shared" si="14"/>
        <v>2023-08-24_0011</v>
      </c>
      <c r="C459" s="8">
        <v>45162</v>
      </c>
      <c r="D459" s="11">
        <v>11</v>
      </c>
      <c r="E459" s="12" t="s">
        <v>15</v>
      </c>
      <c r="F459" s="6">
        <v>45138</v>
      </c>
      <c r="G459" s="9" t="s">
        <v>36</v>
      </c>
      <c r="H459" s="9">
        <f t="shared" si="15"/>
        <v>24</v>
      </c>
      <c r="I459" s="9" t="s">
        <v>18</v>
      </c>
      <c r="J459" s="9" t="s">
        <v>36</v>
      </c>
      <c r="K459" s="19">
        <v>41.902000000000001</v>
      </c>
      <c r="L459" s="22">
        <v>2.2599999999999998</v>
      </c>
      <c r="M459" s="22">
        <v>1.98</v>
      </c>
      <c r="N459" t="s">
        <v>14</v>
      </c>
    </row>
    <row r="460" spans="1:15" ht="16" x14ac:dyDescent="0.4">
      <c r="A460">
        <v>50</v>
      </c>
      <c r="B460" t="str">
        <f t="shared" si="14"/>
        <v>2023-08-24_0012</v>
      </c>
      <c r="C460" s="8">
        <v>45162</v>
      </c>
      <c r="D460" s="11">
        <v>12</v>
      </c>
      <c r="E460" s="12" t="s">
        <v>15</v>
      </c>
      <c r="F460" s="6">
        <v>45131</v>
      </c>
      <c r="G460" s="9" t="s">
        <v>36</v>
      </c>
      <c r="H460" s="9">
        <f t="shared" si="15"/>
        <v>31</v>
      </c>
      <c r="I460" s="9" t="s">
        <v>12</v>
      </c>
      <c r="J460" s="9" t="s">
        <v>36</v>
      </c>
      <c r="K460" s="19">
        <v>46.25</v>
      </c>
      <c r="L460" s="22">
        <v>2.7759999999999998</v>
      </c>
      <c r="M460" s="22">
        <v>2.2759999999999998</v>
      </c>
      <c r="N460" t="s">
        <v>14</v>
      </c>
    </row>
    <row r="461" spans="1:15" ht="16" x14ac:dyDescent="0.4">
      <c r="A461">
        <v>50</v>
      </c>
      <c r="B461" t="str">
        <f t="shared" si="14"/>
        <v>2023-08-24_0013</v>
      </c>
      <c r="C461" s="8">
        <v>45162</v>
      </c>
      <c r="D461" s="11">
        <v>13</v>
      </c>
      <c r="E461" s="12" t="s">
        <v>11</v>
      </c>
      <c r="F461" s="6">
        <v>45131</v>
      </c>
      <c r="G461" s="9" t="s">
        <v>39</v>
      </c>
      <c r="H461" s="9">
        <f t="shared" si="15"/>
        <v>31</v>
      </c>
      <c r="I461" s="9" t="s">
        <v>12</v>
      </c>
      <c r="J461" s="9" t="s">
        <v>36</v>
      </c>
      <c r="K461" s="19">
        <v>42.881</v>
      </c>
      <c r="L461" s="22">
        <v>2.5619999999999998</v>
      </c>
      <c r="M461" s="22">
        <v>2.202</v>
      </c>
      <c r="N461" t="s">
        <v>14</v>
      </c>
      <c r="O461" t="s">
        <v>40</v>
      </c>
    </row>
    <row r="462" spans="1:15" ht="16" x14ac:dyDescent="0.4">
      <c r="A462">
        <v>50</v>
      </c>
      <c r="B462" t="str">
        <f t="shared" si="14"/>
        <v>2023-08-24_0014</v>
      </c>
      <c r="C462" s="8">
        <v>45162</v>
      </c>
      <c r="D462" s="11">
        <v>14</v>
      </c>
      <c r="E462" s="12" t="s">
        <v>11</v>
      </c>
      <c r="F462" s="6">
        <v>45111</v>
      </c>
      <c r="G462" s="9" t="s">
        <v>39</v>
      </c>
      <c r="H462" s="9">
        <f t="shared" si="15"/>
        <v>51</v>
      </c>
      <c r="I462" s="9" t="s">
        <v>12</v>
      </c>
      <c r="J462" s="9" t="s">
        <v>36</v>
      </c>
      <c r="K462" s="19">
        <v>40.805</v>
      </c>
      <c r="L462" s="22">
        <v>2.57</v>
      </c>
      <c r="M462" s="22">
        <v>1.9359999999999999</v>
      </c>
      <c r="N462" t="s">
        <v>14</v>
      </c>
      <c r="O462" t="s">
        <v>40</v>
      </c>
    </row>
    <row r="463" spans="1:15" ht="16" x14ac:dyDescent="0.4">
      <c r="A463">
        <v>50</v>
      </c>
      <c r="B463" t="str">
        <f t="shared" si="14"/>
        <v>2023-08-24_0015</v>
      </c>
      <c r="C463" s="8">
        <v>45162</v>
      </c>
      <c r="D463" s="11">
        <v>15</v>
      </c>
      <c r="E463" s="12" t="s">
        <v>11</v>
      </c>
      <c r="F463" s="6">
        <v>45131</v>
      </c>
      <c r="G463" s="9" t="s">
        <v>36</v>
      </c>
      <c r="H463" s="9">
        <f t="shared" si="15"/>
        <v>31</v>
      </c>
      <c r="I463" s="9" t="s">
        <v>18</v>
      </c>
      <c r="J463" s="9" t="s">
        <v>39</v>
      </c>
      <c r="K463" s="19">
        <v>44.21</v>
      </c>
      <c r="L463" s="22">
        <v>2.6120000000000001</v>
      </c>
      <c r="M463" s="22">
        <v>2.1859999999999999</v>
      </c>
      <c r="N463" t="s">
        <v>14</v>
      </c>
      <c r="O463" t="s">
        <v>41</v>
      </c>
    </row>
    <row r="464" spans="1:15" ht="16" x14ac:dyDescent="0.4">
      <c r="A464">
        <v>50</v>
      </c>
      <c r="B464" t="str">
        <f t="shared" si="14"/>
        <v>2023-08-24_0016</v>
      </c>
      <c r="C464" s="8">
        <v>45162</v>
      </c>
      <c r="D464" s="11">
        <v>16</v>
      </c>
      <c r="E464" s="12" t="s">
        <v>15</v>
      </c>
      <c r="F464" s="6">
        <v>45138</v>
      </c>
      <c r="G464" s="9" t="s">
        <v>39</v>
      </c>
      <c r="H464" s="9">
        <f t="shared" si="15"/>
        <v>24</v>
      </c>
      <c r="I464" s="9" t="s">
        <v>18</v>
      </c>
      <c r="J464" s="9" t="s">
        <v>39</v>
      </c>
      <c r="K464" s="19">
        <v>39.6</v>
      </c>
      <c r="L464" s="22">
        <v>2.2709999999999999</v>
      </c>
      <c r="M464" s="22">
        <v>1.8839999999999999</v>
      </c>
      <c r="N464" t="s">
        <v>14</v>
      </c>
      <c r="O464" t="s">
        <v>56</v>
      </c>
    </row>
    <row r="465" spans="1:15" ht="16" x14ac:dyDescent="0.4">
      <c r="A465">
        <v>50</v>
      </c>
      <c r="B465" t="str">
        <f t="shared" si="14"/>
        <v>2023-08-24_0017</v>
      </c>
      <c r="C465" s="8">
        <v>45162</v>
      </c>
      <c r="D465" s="11">
        <v>17</v>
      </c>
      <c r="E465" s="12" t="s">
        <v>11</v>
      </c>
      <c r="F465" s="6">
        <v>45122</v>
      </c>
      <c r="G465" s="9" t="s">
        <v>36</v>
      </c>
      <c r="H465" s="9">
        <f t="shared" si="15"/>
        <v>40</v>
      </c>
      <c r="I465" s="9" t="s">
        <v>37</v>
      </c>
      <c r="J465" s="9" t="s">
        <v>36</v>
      </c>
      <c r="K465" s="19">
        <v>47.671999999999997</v>
      </c>
      <c r="L465" s="22">
        <v>2.875</v>
      </c>
      <c r="M465" s="22">
        <v>2.2429999999999999</v>
      </c>
      <c r="N465" t="s">
        <v>14</v>
      </c>
    </row>
    <row r="466" spans="1:15" ht="16" x14ac:dyDescent="0.4">
      <c r="A466">
        <v>50</v>
      </c>
      <c r="B466" t="str">
        <f t="shared" si="14"/>
        <v>2023-08-24_0018</v>
      </c>
      <c r="C466" s="8">
        <v>45162</v>
      </c>
      <c r="D466" s="11">
        <v>18</v>
      </c>
      <c r="E466" s="12" t="s">
        <v>15</v>
      </c>
      <c r="F466" s="6">
        <v>45141</v>
      </c>
      <c r="G466" s="9" t="s">
        <v>39</v>
      </c>
      <c r="H466" s="9">
        <f t="shared" si="15"/>
        <v>21</v>
      </c>
      <c r="I466" s="9" t="s">
        <v>12</v>
      </c>
      <c r="J466" s="9" t="s">
        <v>36</v>
      </c>
      <c r="K466" s="19">
        <v>42.220999999999997</v>
      </c>
      <c r="L466" s="22">
        <v>2.4489999999999998</v>
      </c>
      <c r="M466" s="22">
        <v>1.98</v>
      </c>
      <c r="N466" t="s">
        <v>14</v>
      </c>
      <c r="O466" t="s">
        <v>40</v>
      </c>
    </row>
    <row r="467" spans="1:15" ht="16" x14ac:dyDescent="0.4">
      <c r="A467">
        <v>50</v>
      </c>
      <c r="B467" t="str">
        <f t="shared" si="14"/>
        <v>2023-08-24_0019</v>
      </c>
      <c r="C467" s="8">
        <v>45162</v>
      </c>
      <c r="D467" s="11">
        <v>19</v>
      </c>
      <c r="E467" s="12" t="s">
        <v>11</v>
      </c>
      <c r="F467" s="6">
        <v>45126</v>
      </c>
      <c r="G467" s="9" t="s">
        <v>36</v>
      </c>
      <c r="H467" s="9">
        <f t="shared" si="15"/>
        <v>36</v>
      </c>
      <c r="I467" s="9" t="s">
        <v>18</v>
      </c>
      <c r="J467" s="9" t="s">
        <v>36</v>
      </c>
      <c r="K467" s="19">
        <v>44.01</v>
      </c>
      <c r="L467" s="22">
        <v>2.6040000000000001</v>
      </c>
      <c r="M467" s="22">
        <v>2.121</v>
      </c>
      <c r="N467" t="s">
        <v>14</v>
      </c>
    </row>
    <row r="468" spans="1:15" ht="16" x14ac:dyDescent="0.4">
      <c r="A468">
        <v>50</v>
      </c>
      <c r="B468" t="str">
        <f t="shared" si="14"/>
        <v>2023-08-24_0020</v>
      </c>
      <c r="C468" s="8">
        <v>45162</v>
      </c>
      <c r="D468" s="11">
        <v>20</v>
      </c>
      <c r="E468" s="12" t="s">
        <v>11</v>
      </c>
      <c r="F468" s="6">
        <v>45141</v>
      </c>
      <c r="G468" s="9" t="s">
        <v>36</v>
      </c>
      <c r="H468" s="9">
        <f t="shared" si="15"/>
        <v>21</v>
      </c>
      <c r="I468" s="9" t="s">
        <v>38</v>
      </c>
      <c r="J468" s="9" t="s">
        <v>36</v>
      </c>
      <c r="K468" s="19">
        <v>41.999000000000002</v>
      </c>
      <c r="L468" s="22">
        <v>2.6640000000000001</v>
      </c>
      <c r="M468" s="22">
        <v>2.0720000000000001</v>
      </c>
      <c r="N468" t="s">
        <v>14</v>
      </c>
    </row>
    <row r="469" spans="1:15" ht="16" x14ac:dyDescent="0.4">
      <c r="A469">
        <v>50</v>
      </c>
      <c r="B469" t="str">
        <f t="shared" si="14"/>
        <v>2023-08-24_0021</v>
      </c>
      <c r="C469" s="8">
        <v>45162</v>
      </c>
      <c r="D469" s="11">
        <v>21</v>
      </c>
      <c r="E469" s="12" t="s">
        <v>11</v>
      </c>
      <c r="F469" s="6">
        <v>45141</v>
      </c>
      <c r="G469" s="9" t="s">
        <v>36</v>
      </c>
      <c r="H469" s="9">
        <f t="shared" si="15"/>
        <v>21</v>
      </c>
      <c r="I469" s="9" t="s">
        <v>18</v>
      </c>
      <c r="J469" s="9" t="s">
        <v>36</v>
      </c>
      <c r="K469" s="19">
        <v>41.335999999999999</v>
      </c>
      <c r="L469" s="22">
        <v>2.36</v>
      </c>
      <c r="M469" s="22">
        <v>1.9990000000000001</v>
      </c>
      <c r="N469" t="s">
        <v>14</v>
      </c>
    </row>
    <row r="470" spans="1:15" ht="16" x14ac:dyDescent="0.4">
      <c r="A470">
        <v>50</v>
      </c>
      <c r="B470" t="str">
        <f t="shared" si="14"/>
        <v>2023-08-24_0022</v>
      </c>
      <c r="C470" s="8">
        <v>45162</v>
      </c>
      <c r="D470" s="11">
        <v>22</v>
      </c>
      <c r="E470" s="12" t="s">
        <v>11</v>
      </c>
      <c r="F470" s="6">
        <v>45141</v>
      </c>
      <c r="G470" s="9" t="s">
        <v>36</v>
      </c>
      <c r="H470" s="9">
        <f t="shared" si="15"/>
        <v>21</v>
      </c>
      <c r="I470" s="9" t="s">
        <v>12</v>
      </c>
      <c r="J470" s="9" t="s">
        <v>36</v>
      </c>
      <c r="K470" s="19">
        <v>43.792000000000002</v>
      </c>
      <c r="L470" s="22">
        <v>2.7639999999999998</v>
      </c>
      <c r="M470" s="22">
        <v>2.351</v>
      </c>
      <c r="N470" t="s">
        <v>14</v>
      </c>
      <c r="O470" t="s">
        <v>42</v>
      </c>
    </row>
    <row r="471" spans="1:15" ht="16" x14ac:dyDescent="0.4">
      <c r="A471">
        <v>50</v>
      </c>
      <c r="B471" t="str">
        <f t="shared" si="14"/>
        <v>2023-08-24_0023</v>
      </c>
      <c r="C471" s="8">
        <v>45162</v>
      </c>
      <c r="D471" s="11">
        <v>23</v>
      </c>
      <c r="E471" s="12" t="s">
        <v>15</v>
      </c>
      <c r="F471" s="6">
        <v>45141</v>
      </c>
      <c r="G471" s="9" t="s">
        <v>36</v>
      </c>
      <c r="H471" s="9">
        <f t="shared" si="15"/>
        <v>21</v>
      </c>
      <c r="I471" s="9" t="s">
        <v>18</v>
      </c>
      <c r="J471" s="9" t="s">
        <v>39</v>
      </c>
      <c r="K471" s="19">
        <v>38.676000000000002</v>
      </c>
      <c r="L471" s="22">
        <v>2.226</v>
      </c>
      <c r="M471" s="22">
        <v>1.885</v>
      </c>
      <c r="N471" t="s">
        <v>14</v>
      </c>
      <c r="O471" t="s">
        <v>41</v>
      </c>
    </row>
    <row r="472" spans="1:15" ht="16" x14ac:dyDescent="0.4">
      <c r="A472">
        <v>50</v>
      </c>
      <c r="B472" t="str">
        <f t="shared" si="14"/>
        <v>2023-08-24_0024</v>
      </c>
      <c r="C472" s="8">
        <v>45162</v>
      </c>
      <c r="D472" s="11">
        <v>24</v>
      </c>
      <c r="E472" s="12" t="s">
        <v>15</v>
      </c>
      <c r="F472" s="6">
        <v>45138</v>
      </c>
      <c r="G472" s="9" t="s">
        <v>36</v>
      </c>
      <c r="H472" s="9">
        <f t="shared" si="15"/>
        <v>24</v>
      </c>
      <c r="I472" s="9" t="s">
        <v>18</v>
      </c>
      <c r="J472" s="9" t="s">
        <v>36</v>
      </c>
      <c r="K472" s="19">
        <v>46.731999999999999</v>
      </c>
      <c r="L472" s="22">
        <v>2.536</v>
      </c>
      <c r="M472" s="22">
        <v>2.157</v>
      </c>
      <c r="N472" t="s">
        <v>14</v>
      </c>
      <c r="O472" t="s">
        <v>42</v>
      </c>
    </row>
    <row r="473" spans="1:15" ht="16" x14ac:dyDescent="0.4">
      <c r="A473">
        <v>50</v>
      </c>
      <c r="B473" t="str">
        <f t="shared" si="14"/>
        <v>2023-08-24_0025</v>
      </c>
      <c r="C473" s="8">
        <v>45162</v>
      </c>
      <c r="D473" s="11">
        <v>25</v>
      </c>
      <c r="E473" s="12" t="s">
        <v>15</v>
      </c>
      <c r="F473" s="6">
        <v>45136</v>
      </c>
      <c r="G473" s="9" t="s">
        <v>36</v>
      </c>
      <c r="H473" s="9">
        <f t="shared" si="15"/>
        <v>26</v>
      </c>
      <c r="I473" s="9" t="s">
        <v>37</v>
      </c>
      <c r="J473" s="9" t="s">
        <v>36</v>
      </c>
      <c r="K473" s="19">
        <v>43.262</v>
      </c>
      <c r="L473" s="22">
        <v>2.5249999999999999</v>
      </c>
      <c r="M473" s="22">
        <v>2.1579999999999999</v>
      </c>
      <c r="N473" t="s">
        <v>14</v>
      </c>
      <c r="O473" t="s">
        <v>42</v>
      </c>
    </row>
    <row r="474" spans="1:15" ht="16" x14ac:dyDescent="0.4">
      <c r="A474">
        <v>50</v>
      </c>
      <c r="B474" t="str">
        <f t="shared" si="14"/>
        <v>2023-08-24_0026</v>
      </c>
      <c r="C474" s="8">
        <v>45162</v>
      </c>
      <c r="D474" s="11">
        <v>26</v>
      </c>
      <c r="E474" s="12" t="s">
        <v>11</v>
      </c>
      <c r="F474" s="6">
        <v>45129</v>
      </c>
      <c r="G474" s="9" t="s">
        <v>39</v>
      </c>
      <c r="H474" s="9">
        <f t="shared" si="15"/>
        <v>33</v>
      </c>
      <c r="I474" s="9" t="s">
        <v>38</v>
      </c>
      <c r="J474" s="9" t="s">
        <v>36</v>
      </c>
      <c r="K474" s="19">
        <v>42.19</v>
      </c>
      <c r="L474" s="22">
        <v>2.6720000000000002</v>
      </c>
      <c r="M474" s="22">
        <v>2.0870000000000002</v>
      </c>
      <c r="N474" t="s">
        <v>14</v>
      </c>
      <c r="O474" t="s">
        <v>59</v>
      </c>
    </row>
    <row r="475" spans="1:15" ht="16" x14ac:dyDescent="0.4">
      <c r="A475">
        <v>50</v>
      </c>
      <c r="B475" t="str">
        <f t="shared" si="14"/>
        <v>2023-08-24_0027</v>
      </c>
      <c r="C475" s="8">
        <v>45162</v>
      </c>
      <c r="D475" s="11">
        <v>27</v>
      </c>
      <c r="E475" s="12" t="s">
        <v>11</v>
      </c>
      <c r="F475" s="6">
        <v>45139</v>
      </c>
      <c r="G475" s="9" t="s">
        <v>36</v>
      </c>
      <c r="H475" s="9">
        <f t="shared" si="15"/>
        <v>23</v>
      </c>
      <c r="I475" s="9" t="s">
        <v>38</v>
      </c>
      <c r="J475" s="9" t="s">
        <v>36</v>
      </c>
      <c r="K475" s="19" t="s">
        <v>21</v>
      </c>
      <c r="L475" s="22">
        <v>2.6989999999999998</v>
      </c>
      <c r="M475" s="22">
        <v>2.1190000000000002</v>
      </c>
      <c r="N475" t="s">
        <v>16</v>
      </c>
      <c r="O475" t="s">
        <v>48</v>
      </c>
    </row>
    <row r="476" spans="1:15" ht="16" x14ac:dyDescent="0.4">
      <c r="A476">
        <v>50</v>
      </c>
      <c r="B476" t="str">
        <f t="shared" si="14"/>
        <v>2023-08-24_0028</v>
      </c>
      <c r="C476" s="8">
        <v>45162</v>
      </c>
      <c r="D476" s="11">
        <v>28</v>
      </c>
      <c r="E476" s="12" t="s">
        <v>11</v>
      </c>
      <c r="F476" s="6">
        <v>45131</v>
      </c>
      <c r="G476" s="9" t="s">
        <v>36</v>
      </c>
      <c r="H476" s="9">
        <f t="shared" si="15"/>
        <v>31</v>
      </c>
      <c r="I476" s="9" t="s">
        <v>37</v>
      </c>
      <c r="J476" s="9" t="s">
        <v>36</v>
      </c>
      <c r="K476" s="19" t="s">
        <v>21</v>
      </c>
      <c r="L476" s="22">
        <v>2.7709999999999999</v>
      </c>
      <c r="M476" s="22">
        <v>2.125</v>
      </c>
      <c r="N476" t="s">
        <v>16</v>
      </c>
      <c r="O476" t="s">
        <v>48</v>
      </c>
    </row>
    <row r="477" spans="1:15" ht="16" x14ac:dyDescent="0.4">
      <c r="A477">
        <v>50</v>
      </c>
      <c r="B477" t="str">
        <f t="shared" si="14"/>
        <v>2023-08-24_0029</v>
      </c>
      <c r="C477" s="8">
        <v>45162</v>
      </c>
      <c r="D477" s="11">
        <v>29</v>
      </c>
      <c r="E477" s="12" t="s">
        <v>11</v>
      </c>
      <c r="F477" s="6">
        <v>45125</v>
      </c>
      <c r="G477" s="9" t="s">
        <v>36</v>
      </c>
      <c r="H477" s="9">
        <f t="shared" si="15"/>
        <v>37</v>
      </c>
      <c r="I477" s="9" t="s">
        <v>38</v>
      </c>
      <c r="J477" s="9" t="s">
        <v>39</v>
      </c>
      <c r="K477" s="19" t="s">
        <v>21</v>
      </c>
      <c r="L477" s="22">
        <v>2.794</v>
      </c>
      <c r="M477" s="22">
        <v>2.3159999999999998</v>
      </c>
      <c r="N477" t="s">
        <v>16</v>
      </c>
      <c r="O477" t="s">
        <v>51</v>
      </c>
    </row>
    <row r="478" spans="1:15" ht="16" x14ac:dyDescent="0.4">
      <c r="A478">
        <v>50</v>
      </c>
      <c r="B478" t="str">
        <f t="shared" si="14"/>
        <v>2023-08-24_0030</v>
      </c>
      <c r="C478" s="8">
        <v>45162</v>
      </c>
      <c r="D478" s="11">
        <v>30</v>
      </c>
      <c r="E478" s="12" t="s">
        <v>21</v>
      </c>
      <c r="F478" s="6" t="s">
        <v>21</v>
      </c>
      <c r="G478" s="9" t="s">
        <v>21</v>
      </c>
      <c r="H478" s="9" t="str">
        <f t="shared" si="15"/>
        <v>NA</v>
      </c>
      <c r="I478" s="9" t="s">
        <v>18</v>
      </c>
      <c r="J478" s="9" t="s">
        <v>36</v>
      </c>
      <c r="K478" s="19" t="s">
        <v>21</v>
      </c>
      <c r="L478" s="22">
        <v>2.1909999999999998</v>
      </c>
      <c r="M478" s="22">
        <v>2.077</v>
      </c>
      <c r="N478" t="s">
        <v>16</v>
      </c>
      <c r="O478" t="s">
        <v>89</v>
      </c>
    </row>
    <row r="479" spans="1:15" ht="16" x14ac:dyDescent="0.4">
      <c r="A479">
        <v>47</v>
      </c>
      <c r="B479" t="str">
        <f t="shared" si="14"/>
        <v>2023-08-22_0001</v>
      </c>
      <c r="C479" s="8">
        <v>45160</v>
      </c>
      <c r="D479" s="11">
        <v>1</v>
      </c>
      <c r="E479" s="12" t="s">
        <v>15</v>
      </c>
      <c r="F479" s="6">
        <v>45157</v>
      </c>
      <c r="G479" s="9" t="s">
        <v>36</v>
      </c>
      <c r="H479" s="9">
        <f t="shared" si="15"/>
        <v>3</v>
      </c>
      <c r="I479" s="9" t="s">
        <v>18</v>
      </c>
      <c r="J479" s="9" t="s">
        <v>36</v>
      </c>
      <c r="K479" s="19">
        <v>43.255000000000003</v>
      </c>
      <c r="L479" s="22">
        <v>2.327</v>
      </c>
      <c r="M479" s="22">
        <v>2.0339999999999998</v>
      </c>
      <c r="N479" t="s">
        <v>14</v>
      </c>
    </row>
    <row r="480" spans="1:15" ht="16" x14ac:dyDescent="0.4">
      <c r="A480">
        <v>47</v>
      </c>
      <c r="B480" t="str">
        <f t="shared" si="14"/>
        <v>2023-08-22_0002</v>
      </c>
      <c r="C480" s="8">
        <v>45160</v>
      </c>
      <c r="D480" s="11">
        <v>2</v>
      </c>
      <c r="E480" s="12" t="s">
        <v>11</v>
      </c>
      <c r="F480" s="6">
        <v>45135</v>
      </c>
      <c r="G480" s="9" t="s">
        <v>39</v>
      </c>
      <c r="H480" s="9">
        <f t="shared" si="15"/>
        <v>25</v>
      </c>
      <c r="I480" s="9" t="s">
        <v>12</v>
      </c>
      <c r="J480" s="9" t="s">
        <v>36</v>
      </c>
      <c r="K480" s="19">
        <v>45.819000000000003</v>
      </c>
      <c r="L480" s="22">
        <v>2.6509999999999998</v>
      </c>
      <c r="M480" s="22">
        <v>2.149</v>
      </c>
      <c r="N480" t="s">
        <v>14</v>
      </c>
      <c r="O480" t="s">
        <v>40</v>
      </c>
    </row>
    <row r="481" spans="1:15" ht="16" x14ac:dyDescent="0.4">
      <c r="A481">
        <v>47</v>
      </c>
      <c r="B481" t="str">
        <f t="shared" si="14"/>
        <v>2023-08-22_0003</v>
      </c>
      <c r="C481" s="8">
        <v>45160</v>
      </c>
      <c r="D481" s="11">
        <v>3</v>
      </c>
      <c r="E481" s="12" t="s">
        <v>15</v>
      </c>
      <c r="F481" s="6">
        <v>45136</v>
      </c>
      <c r="G481" s="9" t="s">
        <v>36</v>
      </c>
      <c r="H481" s="9">
        <f t="shared" si="15"/>
        <v>24</v>
      </c>
      <c r="I481" s="9" t="s">
        <v>37</v>
      </c>
      <c r="J481" s="9" t="s">
        <v>36</v>
      </c>
      <c r="K481" s="19">
        <v>42.616</v>
      </c>
      <c r="L481" s="22">
        <v>2.4060000000000001</v>
      </c>
      <c r="M481" s="22">
        <v>2.11</v>
      </c>
      <c r="N481" t="s">
        <v>14</v>
      </c>
    </row>
    <row r="482" spans="1:15" ht="16" x14ac:dyDescent="0.4">
      <c r="A482">
        <v>47</v>
      </c>
      <c r="B482" t="str">
        <f t="shared" si="14"/>
        <v>2023-08-22_0004</v>
      </c>
      <c r="C482" s="8">
        <v>45160</v>
      </c>
      <c r="D482" s="11">
        <v>4</v>
      </c>
      <c r="E482" s="12" t="s">
        <v>15</v>
      </c>
      <c r="F482" s="6">
        <v>45141</v>
      </c>
      <c r="G482" s="9" t="s">
        <v>36</v>
      </c>
      <c r="H482" s="9">
        <f t="shared" si="15"/>
        <v>19</v>
      </c>
      <c r="I482" s="9" t="s">
        <v>12</v>
      </c>
      <c r="J482" s="9" t="s">
        <v>36</v>
      </c>
      <c r="K482" s="19">
        <v>44.021999999999998</v>
      </c>
      <c r="L482" s="22">
        <v>2.427</v>
      </c>
      <c r="M482" s="22">
        <v>2.0619999999999998</v>
      </c>
      <c r="N482" t="s">
        <v>14</v>
      </c>
    </row>
    <row r="483" spans="1:15" ht="16" x14ac:dyDescent="0.4">
      <c r="A483">
        <v>48</v>
      </c>
      <c r="B483" t="str">
        <f t="shared" si="14"/>
        <v>2023-08-22_0005</v>
      </c>
      <c r="C483" s="8">
        <v>45160</v>
      </c>
      <c r="D483" s="11">
        <v>5</v>
      </c>
      <c r="E483" s="12" t="s">
        <v>15</v>
      </c>
      <c r="F483" s="6">
        <v>45157</v>
      </c>
      <c r="G483" s="9" t="s">
        <v>39</v>
      </c>
      <c r="H483" s="9">
        <f t="shared" si="15"/>
        <v>3</v>
      </c>
      <c r="I483" s="9" t="s">
        <v>37</v>
      </c>
      <c r="J483" s="9" t="s">
        <v>36</v>
      </c>
      <c r="K483" s="19">
        <v>49.844999999999999</v>
      </c>
      <c r="L483" s="22">
        <v>2.7629999999999999</v>
      </c>
      <c r="M483" s="22">
        <v>2.1389999999999998</v>
      </c>
      <c r="N483" t="s">
        <v>14</v>
      </c>
      <c r="O483" t="s">
        <v>40</v>
      </c>
    </row>
    <row r="484" spans="1:15" ht="16" x14ac:dyDescent="0.4">
      <c r="A484">
        <v>48</v>
      </c>
      <c r="B484" t="str">
        <f t="shared" si="14"/>
        <v>2023-08-22_0006</v>
      </c>
      <c r="C484" s="8">
        <v>45160</v>
      </c>
      <c r="D484" s="11">
        <v>6</v>
      </c>
      <c r="E484" s="12" t="s">
        <v>15</v>
      </c>
      <c r="F484" s="6">
        <v>45127</v>
      </c>
      <c r="G484" s="9" t="s">
        <v>36</v>
      </c>
      <c r="H484" s="9">
        <f t="shared" si="15"/>
        <v>33</v>
      </c>
      <c r="I484" s="9" t="s">
        <v>12</v>
      </c>
      <c r="J484" s="9" t="s">
        <v>36</v>
      </c>
      <c r="K484" s="19">
        <v>43.256</v>
      </c>
      <c r="L484" s="22">
        <v>2.4409999999999998</v>
      </c>
      <c r="M484" s="22">
        <v>2.1120000000000001</v>
      </c>
      <c r="N484" t="s">
        <v>14</v>
      </c>
    </row>
    <row r="485" spans="1:15" ht="16" x14ac:dyDescent="0.4">
      <c r="A485">
        <v>48</v>
      </c>
      <c r="B485" t="str">
        <f t="shared" si="14"/>
        <v>2023-08-22_0007</v>
      </c>
      <c r="C485" s="8">
        <v>45160</v>
      </c>
      <c r="D485" s="11">
        <v>7</v>
      </c>
      <c r="E485" s="12" t="s">
        <v>15</v>
      </c>
      <c r="F485" s="6">
        <v>45141</v>
      </c>
      <c r="G485" s="9" t="s">
        <v>36</v>
      </c>
      <c r="H485" s="9">
        <f t="shared" si="15"/>
        <v>19</v>
      </c>
      <c r="I485" s="9" t="s">
        <v>12</v>
      </c>
      <c r="J485" s="9" t="s">
        <v>36</v>
      </c>
      <c r="K485" s="19">
        <v>43.671999999999997</v>
      </c>
      <c r="L485" s="22">
        <v>2.3580000000000001</v>
      </c>
      <c r="M485" s="22">
        <v>2.1110000000000002</v>
      </c>
      <c r="N485" t="s">
        <v>14</v>
      </c>
    </row>
    <row r="486" spans="1:15" ht="16" x14ac:dyDescent="0.4">
      <c r="A486">
        <v>48</v>
      </c>
      <c r="B486" t="str">
        <f t="shared" si="14"/>
        <v>2023-08-22_0008</v>
      </c>
      <c r="C486" s="8">
        <v>45160</v>
      </c>
      <c r="D486" s="11">
        <v>8</v>
      </c>
      <c r="E486" s="12" t="s">
        <v>11</v>
      </c>
      <c r="F486" s="6">
        <v>45141</v>
      </c>
      <c r="G486" s="9" t="s">
        <v>36</v>
      </c>
      <c r="H486" s="9">
        <f t="shared" si="15"/>
        <v>19</v>
      </c>
      <c r="I486" s="9" t="s">
        <v>12</v>
      </c>
      <c r="J486" s="9" t="s">
        <v>36</v>
      </c>
      <c r="K486" s="19">
        <v>42.829000000000001</v>
      </c>
      <c r="L486" s="22">
        <v>2.5739999999999998</v>
      </c>
      <c r="M486" s="22">
        <v>2.097</v>
      </c>
      <c r="N486" t="s">
        <v>14</v>
      </c>
    </row>
    <row r="487" spans="1:15" ht="16" x14ac:dyDescent="0.4">
      <c r="A487">
        <v>48</v>
      </c>
      <c r="B487" t="str">
        <f t="shared" si="14"/>
        <v>2023-08-22_0009</v>
      </c>
      <c r="C487" s="8">
        <v>45160</v>
      </c>
      <c r="D487" s="11">
        <v>9</v>
      </c>
      <c r="E487" s="12" t="s">
        <v>11</v>
      </c>
      <c r="F487" s="6">
        <v>45145</v>
      </c>
      <c r="G487" s="9" t="s">
        <v>36</v>
      </c>
      <c r="H487" s="9">
        <f t="shared" si="15"/>
        <v>15</v>
      </c>
      <c r="I487" s="9" t="s">
        <v>12</v>
      </c>
      <c r="J487" s="9" t="s">
        <v>36</v>
      </c>
      <c r="K487" s="19">
        <v>44.22</v>
      </c>
      <c r="L487" s="22">
        <v>2.5169999999999999</v>
      </c>
      <c r="M487" s="22">
        <v>2.0779999999999998</v>
      </c>
      <c r="N487" t="s">
        <v>14</v>
      </c>
    </row>
    <row r="488" spans="1:15" ht="16" x14ac:dyDescent="0.4">
      <c r="A488">
        <v>48</v>
      </c>
      <c r="B488" t="str">
        <f t="shared" si="14"/>
        <v>2023-08-22_0010</v>
      </c>
      <c r="C488" s="8">
        <v>45160</v>
      </c>
      <c r="D488" s="11">
        <v>10</v>
      </c>
      <c r="E488" s="12" t="s">
        <v>15</v>
      </c>
      <c r="F488" s="6">
        <v>45131</v>
      </c>
      <c r="G488" s="9" t="s">
        <v>39</v>
      </c>
      <c r="H488" s="9">
        <f t="shared" si="15"/>
        <v>29</v>
      </c>
      <c r="I488" s="9" t="s">
        <v>18</v>
      </c>
      <c r="J488" s="9" t="s">
        <v>39</v>
      </c>
      <c r="K488" s="19">
        <v>42.762</v>
      </c>
      <c r="L488" s="22">
        <v>2.4</v>
      </c>
      <c r="M488" s="22">
        <v>2.024</v>
      </c>
      <c r="N488" t="s">
        <v>14</v>
      </c>
      <c r="O488" t="s">
        <v>56</v>
      </c>
    </row>
    <row r="489" spans="1:15" ht="16" x14ac:dyDescent="0.4">
      <c r="A489">
        <v>48</v>
      </c>
      <c r="B489" t="str">
        <f t="shared" si="14"/>
        <v>2023-08-22_0011</v>
      </c>
      <c r="C489" s="8">
        <v>45160</v>
      </c>
      <c r="D489" s="11">
        <v>11</v>
      </c>
      <c r="E489" s="12" t="s">
        <v>15</v>
      </c>
      <c r="F489" s="6">
        <v>45127</v>
      </c>
      <c r="G489" s="9" t="s">
        <v>36</v>
      </c>
      <c r="H489" s="9">
        <f t="shared" si="15"/>
        <v>33</v>
      </c>
      <c r="I489" s="9" t="s">
        <v>37</v>
      </c>
      <c r="J489" s="9" t="s">
        <v>36</v>
      </c>
      <c r="K489" s="19">
        <v>41.786000000000001</v>
      </c>
      <c r="L489" s="22">
        <v>2.407</v>
      </c>
      <c r="M489" s="22">
        <v>2.0979999999999999</v>
      </c>
      <c r="N489" t="s">
        <v>14</v>
      </c>
    </row>
    <row r="490" spans="1:15" ht="16" x14ac:dyDescent="0.4">
      <c r="A490">
        <v>48</v>
      </c>
      <c r="B490" t="str">
        <f t="shared" si="14"/>
        <v>2023-08-22_0012</v>
      </c>
      <c r="C490" s="8">
        <v>45160</v>
      </c>
      <c r="D490" s="11">
        <v>12</v>
      </c>
      <c r="E490" s="12" t="s">
        <v>11</v>
      </c>
      <c r="F490" s="6">
        <v>45141</v>
      </c>
      <c r="G490" s="9" t="s">
        <v>36</v>
      </c>
      <c r="H490" s="9">
        <f t="shared" si="15"/>
        <v>19</v>
      </c>
      <c r="I490" s="9" t="s">
        <v>12</v>
      </c>
      <c r="J490" s="9" t="s">
        <v>39</v>
      </c>
      <c r="K490" s="19">
        <v>47.822000000000003</v>
      </c>
      <c r="L490" s="22">
        <v>2.8290000000000002</v>
      </c>
      <c r="M490" s="22">
        <v>2.278</v>
      </c>
      <c r="N490" t="s">
        <v>14</v>
      </c>
      <c r="O490" t="s">
        <v>66</v>
      </c>
    </row>
    <row r="491" spans="1:15" ht="16" x14ac:dyDescent="0.4">
      <c r="A491">
        <v>48</v>
      </c>
      <c r="B491" t="str">
        <f t="shared" si="14"/>
        <v>2023-08-22_0013</v>
      </c>
      <c r="C491" s="8">
        <v>45160</v>
      </c>
      <c r="D491" s="11">
        <v>13</v>
      </c>
      <c r="E491" s="12" t="s">
        <v>15</v>
      </c>
      <c r="F491" s="6" t="s">
        <v>21</v>
      </c>
      <c r="G491" s="9" t="s">
        <v>21</v>
      </c>
      <c r="H491" s="9" t="str">
        <f t="shared" si="15"/>
        <v>NA</v>
      </c>
      <c r="I491" s="9" t="s">
        <v>21</v>
      </c>
      <c r="J491" s="9" t="s">
        <v>21</v>
      </c>
      <c r="K491" s="19">
        <v>41.713000000000001</v>
      </c>
      <c r="L491" s="22">
        <v>2.391</v>
      </c>
      <c r="M491" s="22">
        <v>2.0249999999999999</v>
      </c>
      <c r="N491" t="s">
        <v>14</v>
      </c>
      <c r="O491" t="s">
        <v>90</v>
      </c>
    </row>
    <row r="492" spans="1:15" ht="16" x14ac:dyDescent="0.4">
      <c r="A492">
        <v>48</v>
      </c>
      <c r="B492" t="str">
        <f t="shared" si="14"/>
        <v>2023-08-22_0014</v>
      </c>
      <c r="C492" s="8">
        <v>45160</v>
      </c>
      <c r="D492" s="11">
        <v>14</v>
      </c>
      <c r="E492" s="12" t="s">
        <v>11</v>
      </c>
      <c r="F492" s="6">
        <v>45141</v>
      </c>
      <c r="G492" s="9" t="s">
        <v>39</v>
      </c>
      <c r="H492" s="9">
        <f t="shared" si="15"/>
        <v>19</v>
      </c>
      <c r="I492" s="9" t="s">
        <v>38</v>
      </c>
      <c r="J492" s="9" t="s">
        <v>36</v>
      </c>
      <c r="K492" s="19" t="s">
        <v>21</v>
      </c>
      <c r="L492" s="22">
        <v>2.5790000000000002</v>
      </c>
      <c r="M492" s="22">
        <v>2.13</v>
      </c>
      <c r="N492" t="s">
        <v>16</v>
      </c>
      <c r="O492" t="s">
        <v>50</v>
      </c>
    </row>
    <row r="493" spans="1:15" ht="16" x14ac:dyDescent="0.4">
      <c r="A493">
        <v>48</v>
      </c>
      <c r="B493" t="str">
        <f t="shared" si="14"/>
        <v>2023-08-22_0015</v>
      </c>
      <c r="C493" s="8">
        <v>45160</v>
      </c>
      <c r="D493" s="11">
        <v>15</v>
      </c>
      <c r="E493" s="12" t="s">
        <v>11</v>
      </c>
      <c r="F493" s="6">
        <v>45126</v>
      </c>
      <c r="G493" s="9" t="s">
        <v>36</v>
      </c>
      <c r="H493" s="9">
        <f t="shared" si="15"/>
        <v>34</v>
      </c>
      <c r="I493" s="9" t="s">
        <v>37</v>
      </c>
      <c r="J493" s="9" t="s">
        <v>36</v>
      </c>
      <c r="K493" s="19" t="s">
        <v>21</v>
      </c>
      <c r="L493" s="22">
        <v>2.8959999999999999</v>
      </c>
      <c r="M493" s="22">
        <v>2.29</v>
      </c>
      <c r="N493" t="s">
        <v>16</v>
      </c>
      <c r="O493" t="s">
        <v>48</v>
      </c>
    </row>
    <row r="494" spans="1:15" ht="16" x14ac:dyDescent="0.4">
      <c r="B494" t="str">
        <f t="shared" si="14"/>
        <v>2023-08-21_0001</v>
      </c>
      <c r="C494" s="8">
        <v>45159</v>
      </c>
      <c r="D494" s="11">
        <v>1</v>
      </c>
      <c r="E494" s="12" t="s">
        <v>15</v>
      </c>
      <c r="F494" s="6" t="s">
        <v>21</v>
      </c>
      <c r="G494" s="8" t="s">
        <v>21</v>
      </c>
      <c r="H494" s="10" t="str">
        <f t="shared" si="15"/>
        <v>NA</v>
      </c>
      <c r="I494" s="9" t="s">
        <v>21</v>
      </c>
      <c r="J494" s="9" t="s">
        <v>21</v>
      </c>
      <c r="K494" s="19">
        <v>43.776000000000003</v>
      </c>
      <c r="L494" s="22">
        <v>1.837</v>
      </c>
      <c r="M494" s="22">
        <v>1.5109999999999999</v>
      </c>
      <c r="N494" t="s">
        <v>14</v>
      </c>
      <c r="O494" t="s">
        <v>91</v>
      </c>
    </row>
    <row r="495" spans="1:15" ht="16" x14ac:dyDescent="0.4">
      <c r="B495" t="str">
        <f t="shared" si="14"/>
        <v>2023-08-21_0002</v>
      </c>
      <c r="C495" s="8">
        <v>45159</v>
      </c>
      <c r="D495" s="11">
        <v>2</v>
      </c>
      <c r="E495" s="12" t="s">
        <v>11</v>
      </c>
      <c r="F495" s="6">
        <v>45141</v>
      </c>
      <c r="G495" s="8" t="s">
        <v>36</v>
      </c>
      <c r="H495" s="10">
        <f t="shared" si="15"/>
        <v>18</v>
      </c>
      <c r="I495" s="9" t="s">
        <v>38</v>
      </c>
      <c r="J495" s="9" t="s">
        <v>36</v>
      </c>
      <c r="K495" s="19">
        <v>46.616999999999997</v>
      </c>
      <c r="L495" s="22">
        <v>2.2829999999999999</v>
      </c>
      <c r="M495" s="22">
        <v>1.899</v>
      </c>
      <c r="N495" t="s">
        <v>14</v>
      </c>
    </row>
    <row r="496" spans="1:15" ht="16" x14ac:dyDescent="0.4">
      <c r="B496" t="str">
        <f t="shared" si="14"/>
        <v>2023-08-21_0003</v>
      </c>
      <c r="C496" s="8">
        <v>45159</v>
      </c>
      <c r="D496" s="11">
        <v>3</v>
      </c>
      <c r="E496" s="12" t="s">
        <v>15</v>
      </c>
      <c r="F496" s="6">
        <v>45135</v>
      </c>
      <c r="G496" s="8" t="s">
        <v>39</v>
      </c>
      <c r="H496" s="10">
        <f t="shared" si="15"/>
        <v>24</v>
      </c>
      <c r="I496" s="9" t="s">
        <v>38</v>
      </c>
      <c r="J496" s="9" t="s">
        <v>36</v>
      </c>
      <c r="K496" s="19">
        <v>43.862000000000002</v>
      </c>
      <c r="L496" s="22">
        <v>2.1960000000000002</v>
      </c>
      <c r="M496" s="22">
        <v>1.82</v>
      </c>
      <c r="N496" t="s">
        <v>14</v>
      </c>
      <c r="O496" t="s">
        <v>92</v>
      </c>
    </row>
    <row r="497" spans="1:15" ht="16" x14ac:dyDescent="0.4">
      <c r="A497">
        <v>1</v>
      </c>
      <c r="B497" t="str">
        <f t="shared" si="14"/>
        <v>2023-08-21_0004</v>
      </c>
      <c r="C497" s="8">
        <v>45159</v>
      </c>
      <c r="D497" s="11">
        <v>4</v>
      </c>
      <c r="E497" s="12" t="s">
        <v>15</v>
      </c>
      <c r="F497" s="6">
        <v>45127</v>
      </c>
      <c r="G497" s="8" t="s">
        <v>36</v>
      </c>
      <c r="H497" s="10">
        <f t="shared" si="15"/>
        <v>32</v>
      </c>
      <c r="I497" s="9" t="s">
        <v>37</v>
      </c>
      <c r="J497" s="9" t="s">
        <v>36</v>
      </c>
      <c r="K497" s="19">
        <v>49.902999999999999</v>
      </c>
      <c r="L497" s="22">
        <v>2.4849999999999999</v>
      </c>
      <c r="M497" s="22">
        <v>2.0169999999999999</v>
      </c>
      <c r="N497" t="s">
        <v>14</v>
      </c>
    </row>
    <row r="498" spans="1:15" ht="16" x14ac:dyDescent="0.4">
      <c r="A498">
        <v>1</v>
      </c>
      <c r="B498" t="str">
        <f t="shared" si="14"/>
        <v>2023-08-21_0005</v>
      </c>
      <c r="C498" s="8">
        <v>45159</v>
      </c>
      <c r="D498" s="11">
        <v>5</v>
      </c>
      <c r="E498" s="12" t="s">
        <v>11</v>
      </c>
      <c r="F498" s="6">
        <v>45143</v>
      </c>
      <c r="G498" s="8" t="s">
        <v>36</v>
      </c>
      <c r="H498" s="10">
        <f t="shared" si="15"/>
        <v>16</v>
      </c>
      <c r="I498" s="9" t="s">
        <v>12</v>
      </c>
      <c r="J498" s="9" t="s">
        <v>36</v>
      </c>
      <c r="K498" s="19">
        <v>43.363999999999997</v>
      </c>
      <c r="L498" s="22">
        <v>2.2450000000000001</v>
      </c>
      <c r="M498" s="22">
        <v>1.9870000000000001</v>
      </c>
      <c r="N498" t="s">
        <v>14</v>
      </c>
    </row>
    <row r="499" spans="1:15" ht="16" x14ac:dyDescent="0.4">
      <c r="A499">
        <v>1</v>
      </c>
      <c r="B499" t="str">
        <f t="shared" si="14"/>
        <v>2023-08-21_0006</v>
      </c>
      <c r="C499" s="8">
        <v>45159</v>
      </c>
      <c r="D499" s="11">
        <v>6</v>
      </c>
      <c r="E499" s="12" t="s">
        <v>15</v>
      </c>
      <c r="F499" s="6">
        <v>45135</v>
      </c>
      <c r="G499" s="8" t="s">
        <v>39</v>
      </c>
      <c r="H499" s="10">
        <f t="shared" si="15"/>
        <v>24</v>
      </c>
      <c r="I499" s="9" t="s">
        <v>12</v>
      </c>
      <c r="J499" s="9" t="s">
        <v>36</v>
      </c>
      <c r="K499" s="19">
        <v>48.901000000000003</v>
      </c>
      <c r="L499" s="22">
        <v>2.4929999999999999</v>
      </c>
      <c r="M499" s="22">
        <v>2.0449999999999999</v>
      </c>
      <c r="N499" t="s">
        <v>14</v>
      </c>
    </row>
    <row r="500" spans="1:15" ht="16" x14ac:dyDescent="0.4">
      <c r="A500">
        <v>1</v>
      </c>
      <c r="B500" t="str">
        <f t="shared" si="14"/>
        <v>2023-08-21_0007</v>
      </c>
      <c r="C500" s="8">
        <v>45159</v>
      </c>
      <c r="D500" s="11">
        <v>7</v>
      </c>
      <c r="E500" s="12" t="s">
        <v>11</v>
      </c>
      <c r="F500" s="6">
        <v>45141</v>
      </c>
      <c r="G500" s="8" t="s">
        <v>36</v>
      </c>
      <c r="H500" s="10">
        <f t="shared" si="15"/>
        <v>18</v>
      </c>
      <c r="I500" s="9" t="s">
        <v>12</v>
      </c>
      <c r="J500" s="9" t="s">
        <v>36</v>
      </c>
      <c r="K500" s="19">
        <v>46.473999999999997</v>
      </c>
      <c r="L500" s="22">
        <v>2.577</v>
      </c>
      <c r="M500" s="22">
        <v>2.109</v>
      </c>
      <c r="N500" t="s">
        <v>14</v>
      </c>
    </row>
    <row r="501" spans="1:15" ht="16" x14ac:dyDescent="0.4">
      <c r="A501">
        <v>1</v>
      </c>
      <c r="B501" t="str">
        <f t="shared" si="14"/>
        <v>2023-08-21_0008</v>
      </c>
      <c r="C501" s="8">
        <v>45159</v>
      </c>
      <c r="D501" s="11">
        <v>8</v>
      </c>
      <c r="E501" s="12" t="s">
        <v>15</v>
      </c>
      <c r="F501" s="6">
        <v>45128</v>
      </c>
      <c r="G501" s="8" t="s">
        <v>36</v>
      </c>
      <c r="H501" s="10">
        <f t="shared" si="15"/>
        <v>31</v>
      </c>
      <c r="I501" s="9" t="s">
        <v>12</v>
      </c>
      <c r="J501" s="9" t="s">
        <v>36</v>
      </c>
      <c r="K501" s="19">
        <v>48.994</v>
      </c>
      <c r="L501" s="22">
        <v>2.6970000000000001</v>
      </c>
      <c r="M501" s="22">
        <v>2.0870000000000002</v>
      </c>
      <c r="N501" t="s">
        <v>14</v>
      </c>
    </row>
    <row r="502" spans="1:15" ht="16" x14ac:dyDescent="0.4">
      <c r="A502">
        <v>1</v>
      </c>
      <c r="B502" t="str">
        <f t="shared" si="14"/>
        <v>2023-08-21_0009</v>
      </c>
      <c r="C502" s="8">
        <v>45159</v>
      </c>
      <c r="D502" s="11">
        <v>9</v>
      </c>
      <c r="E502" s="12" t="s">
        <v>11</v>
      </c>
      <c r="F502" s="6">
        <v>45136</v>
      </c>
      <c r="G502" s="8" t="s">
        <v>39</v>
      </c>
      <c r="H502" s="10">
        <f t="shared" si="15"/>
        <v>23</v>
      </c>
      <c r="I502" s="9" t="s">
        <v>18</v>
      </c>
      <c r="J502" s="9" t="s">
        <v>36</v>
      </c>
      <c r="K502" s="19">
        <v>44.244</v>
      </c>
      <c r="L502" s="22">
        <v>2.4180000000000001</v>
      </c>
      <c r="M502" s="22">
        <v>1.9570000000000001</v>
      </c>
      <c r="N502" t="s">
        <v>19</v>
      </c>
      <c r="O502" t="s">
        <v>93</v>
      </c>
    </row>
    <row r="503" spans="1:15" ht="16" x14ac:dyDescent="0.4">
      <c r="A503">
        <v>1</v>
      </c>
      <c r="B503" t="str">
        <f t="shared" si="14"/>
        <v>2023-08-21_0010</v>
      </c>
      <c r="C503" s="8">
        <v>45159</v>
      </c>
      <c r="D503" s="11">
        <v>10</v>
      </c>
      <c r="E503" s="12" t="s">
        <v>11</v>
      </c>
      <c r="F503" s="6" t="s">
        <v>21</v>
      </c>
      <c r="G503" s="8" t="s">
        <v>21</v>
      </c>
      <c r="H503" s="10" t="str">
        <f t="shared" si="15"/>
        <v>NA</v>
      </c>
      <c r="I503" s="9" t="s">
        <v>12</v>
      </c>
      <c r="J503" s="9" t="s">
        <v>36</v>
      </c>
      <c r="K503" s="19" t="s">
        <v>21</v>
      </c>
      <c r="L503" s="22">
        <v>2.6549999999999998</v>
      </c>
      <c r="M503" s="22">
        <v>2.141</v>
      </c>
      <c r="N503" t="s">
        <v>13</v>
      </c>
      <c r="O503" t="s">
        <v>94</v>
      </c>
    </row>
    <row r="504" spans="1:15" ht="16" x14ac:dyDescent="0.4">
      <c r="A504">
        <v>1</v>
      </c>
      <c r="B504" t="str">
        <f t="shared" si="14"/>
        <v>2023-08-21_0011</v>
      </c>
      <c r="C504" s="8">
        <v>45159</v>
      </c>
      <c r="D504" s="11">
        <v>11</v>
      </c>
      <c r="E504" s="12" t="s">
        <v>15</v>
      </c>
      <c r="F504" s="6">
        <v>45138</v>
      </c>
      <c r="G504" s="8" t="s">
        <v>36</v>
      </c>
      <c r="H504" s="10">
        <f t="shared" si="15"/>
        <v>21</v>
      </c>
      <c r="I504" s="9" t="s">
        <v>12</v>
      </c>
      <c r="J504" s="9" t="s">
        <v>36</v>
      </c>
      <c r="K504" s="19">
        <v>43.600999999999999</v>
      </c>
      <c r="L504" s="22">
        <v>2.1619999999999999</v>
      </c>
      <c r="M504" s="22">
        <v>2.06</v>
      </c>
      <c r="N504" t="s">
        <v>14</v>
      </c>
    </row>
    <row r="505" spans="1:15" ht="16" x14ac:dyDescent="0.4">
      <c r="A505">
        <v>1</v>
      </c>
      <c r="B505" t="str">
        <f t="shared" si="14"/>
        <v>2023-08-21_0012</v>
      </c>
      <c r="C505" s="8">
        <v>45159</v>
      </c>
      <c r="D505" s="11">
        <v>12</v>
      </c>
      <c r="E505" s="12" t="s">
        <v>11</v>
      </c>
      <c r="F505" s="6">
        <v>45125</v>
      </c>
      <c r="G505" s="8" t="s">
        <v>36</v>
      </c>
      <c r="H505" s="10">
        <f t="shared" si="15"/>
        <v>34</v>
      </c>
      <c r="I505" s="9" t="s">
        <v>38</v>
      </c>
      <c r="J505" s="9" t="s">
        <v>36</v>
      </c>
      <c r="K505" s="19" t="s">
        <v>21</v>
      </c>
      <c r="L505" s="22">
        <v>2.5</v>
      </c>
      <c r="M505" s="22">
        <v>2.0680000000000001</v>
      </c>
      <c r="N505" t="s">
        <v>16</v>
      </c>
      <c r="O505" t="s">
        <v>87</v>
      </c>
    </row>
    <row r="506" spans="1:15" ht="16" x14ac:dyDescent="0.4">
      <c r="A506">
        <v>53</v>
      </c>
      <c r="B506" t="str">
        <f t="shared" si="14"/>
        <v>2023-08-20_0001</v>
      </c>
      <c r="C506" s="8">
        <v>45158</v>
      </c>
      <c r="D506" s="11">
        <v>1</v>
      </c>
      <c r="E506" s="12" t="s">
        <v>11</v>
      </c>
      <c r="F506" s="6">
        <v>45147</v>
      </c>
      <c r="G506" s="9" t="s">
        <v>36</v>
      </c>
      <c r="H506" s="9">
        <f t="shared" si="15"/>
        <v>11</v>
      </c>
      <c r="I506" s="9" t="s">
        <v>18</v>
      </c>
      <c r="J506" s="9" t="s">
        <v>36</v>
      </c>
      <c r="K506" s="19">
        <v>49.220999999999997</v>
      </c>
      <c r="L506" s="22">
        <v>2.67</v>
      </c>
      <c r="M506" s="22">
        <v>2.1779999999999999</v>
      </c>
      <c r="N506" t="s">
        <v>14</v>
      </c>
    </row>
    <row r="507" spans="1:15" ht="16" x14ac:dyDescent="0.4">
      <c r="A507">
        <v>53</v>
      </c>
      <c r="B507" t="str">
        <f t="shared" si="14"/>
        <v>2023-08-20_0002</v>
      </c>
      <c r="C507" s="8">
        <v>45158</v>
      </c>
      <c r="D507" s="11">
        <v>2</v>
      </c>
      <c r="E507" s="12" t="s">
        <v>15</v>
      </c>
      <c r="F507" s="6">
        <v>45139</v>
      </c>
      <c r="G507" s="9" t="s">
        <v>36</v>
      </c>
      <c r="H507" s="9">
        <f t="shared" si="15"/>
        <v>19</v>
      </c>
      <c r="I507" s="9" t="s">
        <v>38</v>
      </c>
      <c r="J507" s="9" t="s">
        <v>36</v>
      </c>
      <c r="K507" s="19">
        <v>51.555999999999997</v>
      </c>
      <c r="L507" s="22">
        <v>2.706</v>
      </c>
      <c r="M507" s="22">
        <v>2.0880000000000001</v>
      </c>
      <c r="N507" t="s">
        <v>14</v>
      </c>
    </row>
    <row r="508" spans="1:15" ht="16" x14ac:dyDescent="0.4">
      <c r="A508">
        <v>53</v>
      </c>
      <c r="B508" t="str">
        <f t="shared" si="14"/>
        <v>2023-08-20_0003</v>
      </c>
      <c r="C508" s="8">
        <v>45158</v>
      </c>
      <c r="D508" s="11">
        <v>3</v>
      </c>
      <c r="E508" s="12" t="s">
        <v>11</v>
      </c>
      <c r="F508" s="6">
        <v>45141</v>
      </c>
      <c r="G508" s="9" t="s">
        <v>36</v>
      </c>
      <c r="H508" s="9">
        <f t="shared" si="15"/>
        <v>17</v>
      </c>
      <c r="I508" s="9" t="s">
        <v>12</v>
      </c>
      <c r="J508" s="9" t="s">
        <v>36</v>
      </c>
      <c r="K508" s="19">
        <v>48.073999999999998</v>
      </c>
      <c r="L508" s="22">
        <v>2.6349999999999998</v>
      </c>
      <c r="M508" s="22">
        <v>2.09</v>
      </c>
      <c r="N508" t="s">
        <v>14</v>
      </c>
    </row>
    <row r="509" spans="1:15" ht="16" x14ac:dyDescent="0.4">
      <c r="A509">
        <v>53</v>
      </c>
      <c r="B509" t="str">
        <f t="shared" si="14"/>
        <v>2023-08-20_0004</v>
      </c>
      <c r="C509" s="8">
        <v>45158</v>
      </c>
      <c r="D509" s="11">
        <v>4</v>
      </c>
      <c r="E509" s="12" t="s">
        <v>15</v>
      </c>
      <c r="F509" s="6">
        <v>45125</v>
      </c>
      <c r="G509" s="9" t="s">
        <v>36</v>
      </c>
      <c r="H509" s="9">
        <f t="shared" si="15"/>
        <v>33</v>
      </c>
      <c r="I509" s="9" t="s">
        <v>12</v>
      </c>
      <c r="J509" s="9" t="s">
        <v>36</v>
      </c>
      <c r="K509" s="19">
        <v>51.841000000000001</v>
      </c>
      <c r="L509" s="22">
        <v>2.4409999999999998</v>
      </c>
      <c r="M509" s="22">
        <v>2.052</v>
      </c>
      <c r="N509" t="s">
        <v>14</v>
      </c>
    </row>
    <row r="510" spans="1:15" ht="16" x14ac:dyDescent="0.4">
      <c r="A510">
        <v>53</v>
      </c>
      <c r="B510" t="str">
        <f t="shared" si="14"/>
        <v>2023-08-20_0005</v>
      </c>
      <c r="C510" s="8">
        <v>45158</v>
      </c>
      <c r="D510" s="11">
        <v>5</v>
      </c>
      <c r="E510" s="12" t="s">
        <v>15</v>
      </c>
      <c r="F510" s="6">
        <v>45129</v>
      </c>
      <c r="G510" s="9" t="s">
        <v>36</v>
      </c>
      <c r="H510" s="9">
        <f t="shared" si="15"/>
        <v>29</v>
      </c>
      <c r="I510" s="9" t="s">
        <v>12</v>
      </c>
      <c r="J510" s="9" t="s">
        <v>36</v>
      </c>
      <c r="K510" s="19">
        <v>45.994999999999997</v>
      </c>
      <c r="L510" s="22">
        <v>2.379</v>
      </c>
      <c r="M510" s="22">
        <v>2.0049999999999999</v>
      </c>
      <c r="N510" t="s">
        <v>14</v>
      </c>
    </row>
    <row r="511" spans="1:15" ht="16" x14ac:dyDescent="0.4">
      <c r="A511">
        <v>53</v>
      </c>
      <c r="B511" t="str">
        <f t="shared" si="14"/>
        <v>2023-08-20_0006</v>
      </c>
      <c r="C511" s="8">
        <v>45158</v>
      </c>
      <c r="D511" s="11">
        <v>6</v>
      </c>
      <c r="E511" s="12" t="s">
        <v>11</v>
      </c>
      <c r="F511" s="6" t="s">
        <v>21</v>
      </c>
      <c r="G511" s="9" t="s">
        <v>21</v>
      </c>
      <c r="H511" s="9" t="str">
        <f t="shared" si="15"/>
        <v>NA</v>
      </c>
      <c r="I511" s="9" t="s">
        <v>37</v>
      </c>
      <c r="J511" s="9" t="s">
        <v>36</v>
      </c>
      <c r="K511" s="19">
        <v>48.850999999999999</v>
      </c>
      <c r="L511" s="22">
        <v>2.4950000000000001</v>
      </c>
      <c r="M511" s="22">
        <v>1.9770000000000001</v>
      </c>
      <c r="N511" t="s">
        <v>14</v>
      </c>
      <c r="O511" t="s">
        <v>95</v>
      </c>
    </row>
    <row r="512" spans="1:15" ht="16" x14ac:dyDescent="0.4">
      <c r="A512">
        <v>53</v>
      </c>
      <c r="B512" t="str">
        <f t="shared" si="14"/>
        <v>2023-08-20_0007</v>
      </c>
      <c r="C512" s="8">
        <v>45158</v>
      </c>
      <c r="D512" s="11">
        <v>7</v>
      </c>
      <c r="E512" s="12" t="s">
        <v>15</v>
      </c>
      <c r="F512" s="6">
        <v>45121</v>
      </c>
      <c r="G512" s="9" t="s">
        <v>39</v>
      </c>
      <c r="H512" s="9">
        <f t="shared" si="15"/>
        <v>37</v>
      </c>
      <c r="I512" s="9" t="s">
        <v>17</v>
      </c>
      <c r="J512" s="9" t="s">
        <v>36</v>
      </c>
      <c r="K512" s="19">
        <v>53.167000000000002</v>
      </c>
      <c r="L512" s="22">
        <v>2.6480000000000001</v>
      </c>
      <c r="M512" s="22">
        <v>2.1789999999999998</v>
      </c>
      <c r="N512" t="s">
        <v>14</v>
      </c>
      <c r="O512" t="s">
        <v>44</v>
      </c>
    </row>
    <row r="513" spans="1:15" ht="16" x14ac:dyDescent="0.4">
      <c r="A513">
        <v>54</v>
      </c>
      <c r="B513" t="str">
        <f t="shared" si="14"/>
        <v>2023-08-20_0008</v>
      </c>
      <c r="C513" s="8">
        <v>45158</v>
      </c>
      <c r="D513" s="11">
        <v>8</v>
      </c>
      <c r="E513" s="12" t="s">
        <v>15</v>
      </c>
      <c r="F513" s="6">
        <v>45127</v>
      </c>
      <c r="G513" s="9" t="s">
        <v>39</v>
      </c>
      <c r="H513" s="9">
        <f t="shared" si="15"/>
        <v>31</v>
      </c>
      <c r="I513" s="9" t="s">
        <v>12</v>
      </c>
      <c r="J513" s="9" t="s">
        <v>36</v>
      </c>
      <c r="K513" s="19">
        <v>43.825000000000003</v>
      </c>
      <c r="L513" s="22">
        <v>2.2669999999999999</v>
      </c>
      <c r="M513" s="22">
        <v>1.871</v>
      </c>
      <c r="N513" t="s">
        <v>14</v>
      </c>
      <c r="O513" t="s">
        <v>40</v>
      </c>
    </row>
    <row r="514" spans="1:15" ht="16" x14ac:dyDescent="0.4">
      <c r="A514">
        <v>54</v>
      </c>
      <c r="B514" t="str">
        <f t="shared" ref="B514:B577" si="16">IF(ISBLANK(C514),NA(),_xlfn.CONCAT(TEXT(C514,"YYYY-MM-DD"),"_",TEXT(D514,"0000")))</f>
        <v>2023-08-20_0009</v>
      </c>
      <c r="C514" s="8">
        <v>45158</v>
      </c>
      <c r="D514" s="11">
        <v>9</v>
      </c>
      <c r="E514" s="12" t="s">
        <v>15</v>
      </c>
      <c r="F514" s="6">
        <v>45129</v>
      </c>
      <c r="G514" s="9" t="s">
        <v>36</v>
      </c>
      <c r="H514" s="9">
        <f t="shared" ref="H514:H577" si="17">IF(F514="NA","NA", DATEDIF(F514,C514,"d"))</f>
        <v>29</v>
      </c>
      <c r="I514" s="9" t="s">
        <v>37</v>
      </c>
      <c r="J514" s="9" t="s">
        <v>36</v>
      </c>
      <c r="K514" s="19">
        <v>53.134</v>
      </c>
      <c r="L514" s="22">
        <v>2.4159999999999999</v>
      </c>
      <c r="M514" s="22">
        <v>2.0419999999999998</v>
      </c>
      <c r="N514" t="s">
        <v>14</v>
      </c>
    </row>
    <row r="515" spans="1:15" ht="16" x14ac:dyDescent="0.4">
      <c r="A515">
        <v>54</v>
      </c>
      <c r="B515" t="str">
        <f t="shared" si="16"/>
        <v>2023-08-20_0010</v>
      </c>
      <c r="C515" s="8">
        <v>45158</v>
      </c>
      <c r="D515" s="11">
        <v>10</v>
      </c>
      <c r="E515" s="12" t="s">
        <v>15</v>
      </c>
      <c r="F515" s="6">
        <v>45131</v>
      </c>
      <c r="G515" s="9" t="s">
        <v>39</v>
      </c>
      <c r="H515" s="9">
        <f t="shared" si="17"/>
        <v>27</v>
      </c>
      <c r="I515" s="9" t="s">
        <v>37</v>
      </c>
      <c r="J515" s="9" t="s">
        <v>36</v>
      </c>
      <c r="K515" s="19">
        <v>49.749000000000002</v>
      </c>
      <c r="L515" s="22">
        <v>2.5299999999999998</v>
      </c>
      <c r="M515" s="22">
        <v>2.0489999999999999</v>
      </c>
      <c r="N515" t="s">
        <v>14</v>
      </c>
      <c r="O515" t="s">
        <v>40</v>
      </c>
    </row>
    <row r="516" spans="1:15" ht="16" x14ac:dyDescent="0.4">
      <c r="A516">
        <v>54</v>
      </c>
      <c r="B516" t="str">
        <f t="shared" si="16"/>
        <v>2023-08-20_0011</v>
      </c>
      <c r="C516" s="8">
        <v>45158</v>
      </c>
      <c r="D516" s="11">
        <v>11</v>
      </c>
      <c r="E516" s="12" t="s">
        <v>11</v>
      </c>
      <c r="F516" s="6">
        <v>45135</v>
      </c>
      <c r="G516" s="9" t="s">
        <v>39</v>
      </c>
      <c r="H516" s="9">
        <f t="shared" si="17"/>
        <v>23</v>
      </c>
      <c r="I516" s="9" t="s">
        <v>18</v>
      </c>
      <c r="J516" s="9" t="s">
        <v>39</v>
      </c>
      <c r="K516" s="19">
        <v>46.076999999999998</v>
      </c>
      <c r="L516" s="22">
        <v>2.6669999999999998</v>
      </c>
      <c r="M516" s="22">
        <v>2.1859999999999999</v>
      </c>
      <c r="N516" t="s">
        <v>14</v>
      </c>
      <c r="O516" t="s">
        <v>96</v>
      </c>
    </row>
    <row r="517" spans="1:15" ht="16" x14ac:dyDescent="0.4">
      <c r="A517">
        <v>54</v>
      </c>
      <c r="B517" t="str">
        <f t="shared" si="16"/>
        <v>2023-08-20_0012</v>
      </c>
      <c r="C517" s="8">
        <v>45158</v>
      </c>
      <c r="D517" s="11">
        <v>12</v>
      </c>
      <c r="E517" s="12" t="s">
        <v>15</v>
      </c>
      <c r="F517" s="6">
        <v>45131</v>
      </c>
      <c r="G517" s="9" t="s">
        <v>39</v>
      </c>
      <c r="H517" s="9">
        <f t="shared" si="17"/>
        <v>27</v>
      </c>
      <c r="I517" s="9" t="s">
        <v>12</v>
      </c>
      <c r="J517" s="9" t="s">
        <v>36</v>
      </c>
      <c r="K517" s="19">
        <v>45.063000000000002</v>
      </c>
      <c r="L517" s="22">
        <v>2.629</v>
      </c>
      <c r="M517" s="22">
        <v>2.085</v>
      </c>
      <c r="N517" t="s">
        <v>14</v>
      </c>
      <c r="O517" t="s">
        <v>40</v>
      </c>
    </row>
    <row r="518" spans="1:15" ht="16" x14ac:dyDescent="0.4">
      <c r="A518">
        <v>54</v>
      </c>
      <c r="B518" t="str">
        <f t="shared" si="16"/>
        <v>2023-08-20_0013</v>
      </c>
      <c r="C518" s="8">
        <v>45158</v>
      </c>
      <c r="D518" s="11">
        <v>13</v>
      </c>
      <c r="E518" s="12" t="s">
        <v>11</v>
      </c>
      <c r="F518" s="6">
        <v>45136</v>
      </c>
      <c r="G518" s="9" t="s">
        <v>36</v>
      </c>
      <c r="H518" s="9">
        <f t="shared" si="17"/>
        <v>22</v>
      </c>
      <c r="I518" s="9" t="s">
        <v>37</v>
      </c>
      <c r="J518" s="9" t="s">
        <v>36</v>
      </c>
      <c r="K518" s="19">
        <v>47.798000000000002</v>
      </c>
      <c r="L518" s="22">
        <v>2.7160000000000002</v>
      </c>
      <c r="M518" s="22">
        <v>2.2120000000000002</v>
      </c>
      <c r="N518" t="s">
        <v>14</v>
      </c>
      <c r="O518" t="s">
        <v>42</v>
      </c>
    </row>
    <row r="519" spans="1:15" ht="16" x14ac:dyDescent="0.4">
      <c r="A519">
        <v>54</v>
      </c>
      <c r="B519" t="str">
        <f t="shared" si="16"/>
        <v>2023-08-20_0014</v>
      </c>
      <c r="C519" s="8">
        <v>45158</v>
      </c>
      <c r="D519" s="11">
        <v>14</v>
      </c>
      <c r="E519" s="12" t="s">
        <v>15</v>
      </c>
      <c r="F519" s="6">
        <v>45129</v>
      </c>
      <c r="G519" s="9" t="s">
        <v>36</v>
      </c>
      <c r="H519" s="9">
        <f t="shared" si="17"/>
        <v>29</v>
      </c>
      <c r="I519" s="9" t="s">
        <v>12</v>
      </c>
      <c r="J519" s="9" t="s">
        <v>36</v>
      </c>
      <c r="K519" s="19">
        <v>46.122999999999998</v>
      </c>
      <c r="L519" s="22">
        <v>2.3530000000000002</v>
      </c>
      <c r="M519" s="22">
        <v>2.0720000000000001</v>
      </c>
      <c r="N519" t="s">
        <v>14</v>
      </c>
      <c r="O519" t="s">
        <v>42</v>
      </c>
    </row>
    <row r="520" spans="1:15" ht="16" x14ac:dyDescent="0.4">
      <c r="A520">
        <v>54</v>
      </c>
      <c r="B520" t="str">
        <f t="shared" si="16"/>
        <v>2023-08-20_0015</v>
      </c>
      <c r="C520" s="8">
        <v>45158</v>
      </c>
      <c r="D520" s="11">
        <v>15</v>
      </c>
      <c r="E520" s="12" t="s">
        <v>11</v>
      </c>
      <c r="F520" s="6">
        <v>45135</v>
      </c>
      <c r="G520" s="9" t="s">
        <v>39</v>
      </c>
      <c r="H520" s="9">
        <f t="shared" si="17"/>
        <v>23</v>
      </c>
      <c r="I520" s="9" t="s">
        <v>12</v>
      </c>
      <c r="J520" s="9" t="s">
        <v>36</v>
      </c>
      <c r="K520" s="19" t="s">
        <v>21</v>
      </c>
      <c r="L520" s="22">
        <v>2.7639999999999998</v>
      </c>
      <c r="M520" s="22">
        <v>2.274</v>
      </c>
      <c r="N520" t="s">
        <v>14</v>
      </c>
      <c r="O520" t="s">
        <v>97</v>
      </c>
    </row>
    <row r="521" spans="1:15" ht="16" x14ac:dyDescent="0.4">
      <c r="A521">
        <v>54</v>
      </c>
      <c r="B521" t="str">
        <f t="shared" si="16"/>
        <v>2023-08-20_0016</v>
      </c>
      <c r="C521" s="8">
        <v>45158</v>
      </c>
      <c r="D521" s="11">
        <v>16</v>
      </c>
      <c r="E521" s="12" t="s">
        <v>11</v>
      </c>
      <c r="F521" s="6">
        <v>45138</v>
      </c>
      <c r="G521" s="9" t="s">
        <v>36</v>
      </c>
      <c r="H521" s="9">
        <f t="shared" si="17"/>
        <v>20</v>
      </c>
      <c r="I521" s="9" t="s">
        <v>12</v>
      </c>
      <c r="J521" s="9" t="s">
        <v>36</v>
      </c>
      <c r="K521" s="19" t="s">
        <v>21</v>
      </c>
      <c r="L521" s="22">
        <v>2.6160000000000001</v>
      </c>
      <c r="M521" s="22">
        <v>2.1150000000000002</v>
      </c>
      <c r="N521" t="s">
        <v>16</v>
      </c>
      <c r="O521" t="s">
        <v>98</v>
      </c>
    </row>
    <row r="522" spans="1:15" ht="16" x14ac:dyDescent="0.4">
      <c r="A522">
        <v>54</v>
      </c>
      <c r="B522" t="str">
        <f t="shared" si="16"/>
        <v>2023-08-20_0017</v>
      </c>
      <c r="C522" s="8">
        <v>45158</v>
      </c>
      <c r="D522" s="11">
        <v>17</v>
      </c>
      <c r="E522" s="12" t="s">
        <v>21</v>
      </c>
      <c r="F522" s="6" t="s">
        <v>21</v>
      </c>
      <c r="G522" s="9" t="s">
        <v>21</v>
      </c>
      <c r="H522" s="9" t="str">
        <f t="shared" si="17"/>
        <v>NA</v>
      </c>
      <c r="I522" s="9" t="s">
        <v>38</v>
      </c>
      <c r="J522" s="9" t="s">
        <v>39</v>
      </c>
      <c r="K522" s="19" t="s">
        <v>21</v>
      </c>
      <c r="L522" s="22">
        <v>2.6150000000000002</v>
      </c>
      <c r="M522" s="22">
        <v>2.181</v>
      </c>
      <c r="N522" t="s">
        <v>16</v>
      </c>
      <c r="O522" t="s">
        <v>99</v>
      </c>
    </row>
    <row r="523" spans="1:15" ht="16" x14ac:dyDescent="0.4">
      <c r="A523">
        <v>54</v>
      </c>
      <c r="B523" t="str">
        <f t="shared" si="16"/>
        <v>2023-08-20_0018</v>
      </c>
      <c r="C523" s="8">
        <v>45158</v>
      </c>
      <c r="D523" s="11">
        <v>18</v>
      </c>
      <c r="E523" s="12" t="s">
        <v>11</v>
      </c>
      <c r="F523" s="6">
        <v>45118</v>
      </c>
      <c r="G523" s="9" t="s">
        <v>39</v>
      </c>
      <c r="H523" s="9">
        <f t="shared" si="17"/>
        <v>40</v>
      </c>
      <c r="I523" s="9" t="s">
        <v>12</v>
      </c>
      <c r="J523" s="9" t="s">
        <v>36</v>
      </c>
      <c r="K523" s="19" t="s">
        <v>21</v>
      </c>
      <c r="L523" s="22">
        <v>2.7320000000000002</v>
      </c>
      <c r="M523" s="22">
        <v>2.2839999999999998</v>
      </c>
      <c r="N523" t="s">
        <v>16</v>
      </c>
      <c r="O523" t="s">
        <v>100</v>
      </c>
    </row>
    <row r="524" spans="1:15" ht="16" x14ac:dyDescent="0.4">
      <c r="A524">
        <v>54</v>
      </c>
      <c r="B524" t="str">
        <f t="shared" si="16"/>
        <v>2023-08-20_0019</v>
      </c>
      <c r="C524" s="8">
        <v>45158</v>
      </c>
      <c r="D524" s="11">
        <v>19</v>
      </c>
      <c r="E524" s="12" t="s">
        <v>11</v>
      </c>
      <c r="F524" s="6">
        <v>45127</v>
      </c>
      <c r="G524" s="9" t="s">
        <v>36</v>
      </c>
      <c r="H524" s="9">
        <f t="shared" si="17"/>
        <v>31</v>
      </c>
      <c r="I524" s="9" t="s">
        <v>12</v>
      </c>
      <c r="J524" s="9" t="s">
        <v>36</v>
      </c>
      <c r="K524" s="19">
        <v>45.738999999999997</v>
      </c>
      <c r="L524" s="22">
        <v>2.6659999999999999</v>
      </c>
      <c r="M524" s="22">
        <v>2.1949999999999998</v>
      </c>
      <c r="N524" t="s">
        <v>16</v>
      </c>
      <c r="O524" t="s">
        <v>48</v>
      </c>
    </row>
    <row r="525" spans="1:15" ht="16" x14ac:dyDescent="0.4">
      <c r="A525">
        <v>54</v>
      </c>
      <c r="B525" t="str">
        <f t="shared" si="16"/>
        <v>2023-08-20_0020</v>
      </c>
      <c r="C525" s="8">
        <v>45158</v>
      </c>
      <c r="D525" s="11">
        <v>20</v>
      </c>
      <c r="E525" s="12" t="s">
        <v>11</v>
      </c>
      <c r="F525" s="6" t="s">
        <v>21</v>
      </c>
      <c r="G525" s="9" t="s">
        <v>21</v>
      </c>
      <c r="H525" s="9" t="str">
        <f t="shared" si="17"/>
        <v>NA</v>
      </c>
      <c r="I525" s="9" t="s">
        <v>38</v>
      </c>
      <c r="J525" s="9" t="s">
        <v>39</v>
      </c>
      <c r="K525" s="19" t="s">
        <v>21</v>
      </c>
      <c r="L525" s="22">
        <v>2.6120000000000001</v>
      </c>
      <c r="M525" s="22">
        <v>2.1520000000000001</v>
      </c>
      <c r="N525" t="s">
        <v>16</v>
      </c>
      <c r="O525" t="s">
        <v>101</v>
      </c>
    </row>
    <row r="526" spans="1:15" ht="16" x14ac:dyDescent="0.4">
      <c r="A526">
        <v>51</v>
      </c>
      <c r="B526" t="str">
        <f t="shared" si="16"/>
        <v>2023-08-19_0001</v>
      </c>
      <c r="C526" s="8">
        <v>45157</v>
      </c>
      <c r="D526" s="11">
        <v>1</v>
      </c>
      <c r="E526" s="12" t="s">
        <v>15</v>
      </c>
      <c r="F526" s="6">
        <v>45123</v>
      </c>
      <c r="G526" s="9" t="s">
        <v>36</v>
      </c>
      <c r="H526" s="9">
        <f t="shared" si="17"/>
        <v>34</v>
      </c>
      <c r="I526" s="9" t="s">
        <v>37</v>
      </c>
      <c r="J526" s="9" t="s">
        <v>36</v>
      </c>
      <c r="K526" s="19">
        <v>44.816000000000003</v>
      </c>
      <c r="L526" s="22">
        <v>2.431</v>
      </c>
      <c r="M526" s="22">
        <v>2.1030000000000002</v>
      </c>
      <c r="N526" t="s">
        <v>14</v>
      </c>
    </row>
    <row r="527" spans="1:15" ht="16" x14ac:dyDescent="0.4">
      <c r="A527">
        <v>51</v>
      </c>
      <c r="B527" t="str">
        <f t="shared" si="16"/>
        <v>2023-08-19_0002</v>
      </c>
      <c r="C527" s="8">
        <v>45157</v>
      </c>
      <c r="D527" s="11">
        <v>2</v>
      </c>
      <c r="E527" s="12" t="s">
        <v>11</v>
      </c>
      <c r="F527" s="6">
        <v>45126</v>
      </c>
      <c r="G527" s="9" t="s">
        <v>36</v>
      </c>
      <c r="H527" s="9">
        <f t="shared" si="17"/>
        <v>31</v>
      </c>
      <c r="I527" s="9" t="s">
        <v>18</v>
      </c>
      <c r="J527" s="9" t="s">
        <v>36</v>
      </c>
      <c r="K527" s="19">
        <v>45.834000000000003</v>
      </c>
      <c r="L527" s="22">
        <v>2.66</v>
      </c>
      <c r="M527" s="22">
        <v>2.194</v>
      </c>
      <c r="N527" t="s">
        <v>14</v>
      </c>
    </row>
    <row r="528" spans="1:15" ht="16" x14ac:dyDescent="0.4">
      <c r="A528">
        <v>51</v>
      </c>
      <c r="B528" t="str">
        <f t="shared" si="16"/>
        <v>2023-08-19_0003</v>
      </c>
      <c r="C528" s="8">
        <v>45157</v>
      </c>
      <c r="D528" s="11">
        <v>3</v>
      </c>
      <c r="E528" s="12" t="s">
        <v>11</v>
      </c>
      <c r="F528" s="6">
        <v>45129</v>
      </c>
      <c r="G528" s="9" t="s">
        <v>36</v>
      </c>
      <c r="H528" s="9">
        <f t="shared" si="17"/>
        <v>28</v>
      </c>
      <c r="I528" s="9" t="s">
        <v>17</v>
      </c>
      <c r="J528" s="9" t="s">
        <v>36</v>
      </c>
      <c r="K528" s="19">
        <v>40.729999999999997</v>
      </c>
      <c r="L528" s="22">
        <v>2.4969999999999999</v>
      </c>
      <c r="M528" s="22">
        <v>1.948</v>
      </c>
      <c r="N528" t="s">
        <v>14</v>
      </c>
    </row>
    <row r="529" spans="1:15" ht="16" x14ac:dyDescent="0.4">
      <c r="A529">
        <v>51</v>
      </c>
      <c r="B529" t="str">
        <f t="shared" si="16"/>
        <v>2023-08-19_0004</v>
      </c>
      <c r="C529" s="8">
        <v>45157</v>
      </c>
      <c r="D529" s="11">
        <v>4</v>
      </c>
      <c r="E529" s="12" t="s">
        <v>15</v>
      </c>
      <c r="F529" s="6">
        <v>45128</v>
      </c>
      <c r="G529" s="9" t="s">
        <v>36</v>
      </c>
      <c r="H529" s="9">
        <f t="shared" si="17"/>
        <v>29</v>
      </c>
      <c r="I529" s="9" t="s">
        <v>37</v>
      </c>
      <c r="J529" s="9" t="s">
        <v>36</v>
      </c>
      <c r="K529" s="19">
        <v>44.4</v>
      </c>
      <c r="L529" s="22">
        <v>2.6080000000000001</v>
      </c>
      <c r="M529" s="22">
        <v>2.09</v>
      </c>
      <c r="N529" t="s">
        <v>14</v>
      </c>
      <c r="O529" t="s">
        <v>102</v>
      </c>
    </row>
    <row r="530" spans="1:15" ht="16" x14ac:dyDescent="0.4">
      <c r="A530">
        <v>52</v>
      </c>
      <c r="B530" t="str">
        <f t="shared" si="16"/>
        <v>2023-08-19_0005</v>
      </c>
      <c r="C530" s="8">
        <v>45157</v>
      </c>
      <c r="D530" s="11">
        <v>5</v>
      </c>
      <c r="E530" s="12" t="s">
        <v>15</v>
      </c>
      <c r="F530" s="6">
        <v>45128</v>
      </c>
      <c r="G530" s="9" t="s">
        <v>36</v>
      </c>
      <c r="H530" s="9">
        <f t="shared" si="17"/>
        <v>29</v>
      </c>
      <c r="I530" s="9" t="s">
        <v>37</v>
      </c>
      <c r="J530" s="9" t="s">
        <v>36</v>
      </c>
      <c r="K530" s="19">
        <v>45.554000000000002</v>
      </c>
      <c r="L530" s="22">
        <v>2.5739999999999998</v>
      </c>
      <c r="M530" s="22">
        <v>2.085</v>
      </c>
      <c r="N530" t="s">
        <v>14</v>
      </c>
    </row>
    <row r="531" spans="1:15" ht="16" x14ac:dyDescent="0.4">
      <c r="A531">
        <v>52</v>
      </c>
      <c r="B531" t="str">
        <f t="shared" si="16"/>
        <v>2023-08-19_0006</v>
      </c>
      <c r="C531" s="8">
        <v>45157</v>
      </c>
      <c r="D531" s="11">
        <v>6</v>
      </c>
      <c r="E531" s="12" t="s">
        <v>15</v>
      </c>
      <c r="F531" s="6">
        <v>45115</v>
      </c>
      <c r="G531" s="9" t="s">
        <v>39</v>
      </c>
      <c r="H531" s="9">
        <f t="shared" si="17"/>
        <v>42</v>
      </c>
      <c r="I531" s="9" t="s">
        <v>37</v>
      </c>
      <c r="J531" s="9" t="s">
        <v>36</v>
      </c>
      <c r="K531" s="19">
        <v>40.667999999999999</v>
      </c>
      <c r="L531" s="22">
        <v>2.4020000000000001</v>
      </c>
      <c r="M531" s="22">
        <v>2.0049999999999999</v>
      </c>
      <c r="N531" t="s">
        <v>14</v>
      </c>
      <c r="O531" t="s">
        <v>44</v>
      </c>
    </row>
    <row r="532" spans="1:15" ht="16" x14ac:dyDescent="0.4">
      <c r="A532">
        <v>52</v>
      </c>
      <c r="B532" t="str">
        <f t="shared" si="16"/>
        <v>2023-08-19_0007</v>
      </c>
      <c r="C532" s="8">
        <v>45157</v>
      </c>
      <c r="D532" s="11">
        <v>7</v>
      </c>
      <c r="E532" s="12" t="s">
        <v>15</v>
      </c>
      <c r="F532" s="6">
        <v>45128</v>
      </c>
      <c r="G532" s="9" t="s">
        <v>36</v>
      </c>
      <c r="H532" s="9">
        <f t="shared" si="17"/>
        <v>29</v>
      </c>
      <c r="I532" s="9" t="s">
        <v>37</v>
      </c>
      <c r="J532" s="9" t="s">
        <v>36</v>
      </c>
      <c r="K532" s="19">
        <v>44.713999999999999</v>
      </c>
      <c r="L532" s="22">
        <v>2.532</v>
      </c>
      <c r="M532" s="22">
        <v>2.1379999999999999</v>
      </c>
      <c r="N532" t="s">
        <v>14</v>
      </c>
    </row>
    <row r="533" spans="1:15" ht="16" x14ac:dyDescent="0.4">
      <c r="A533">
        <v>52</v>
      </c>
      <c r="B533" t="str">
        <f t="shared" si="16"/>
        <v>2023-08-19_0008</v>
      </c>
      <c r="C533" s="8">
        <v>45157</v>
      </c>
      <c r="D533" s="11">
        <v>8</v>
      </c>
      <c r="E533" s="12" t="s">
        <v>11</v>
      </c>
      <c r="F533" s="6">
        <v>45135</v>
      </c>
      <c r="G533" s="9" t="s">
        <v>36</v>
      </c>
      <c r="H533" s="9">
        <f t="shared" si="17"/>
        <v>22</v>
      </c>
      <c r="I533" s="9" t="s">
        <v>17</v>
      </c>
      <c r="J533" s="9" t="s">
        <v>36</v>
      </c>
      <c r="K533" s="19">
        <v>41.600999999999999</v>
      </c>
      <c r="L533" s="22">
        <v>2.3719999999999999</v>
      </c>
      <c r="M533" s="22">
        <v>2.089</v>
      </c>
      <c r="N533" t="s">
        <v>14</v>
      </c>
      <c r="O533" t="s">
        <v>103</v>
      </c>
    </row>
    <row r="534" spans="1:15" ht="16" x14ac:dyDescent="0.4">
      <c r="A534">
        <v>52</v>
      </c>
      <c r="B534" t="str">
        <f t="shared" si="16"/>
        <v>2023-08-19_0009</v>
      </c>
      <c r="C534" s="8">
        <v>45157</v>
      </c>
      <c r="D534" s="11">
        <v>9</v>
      </c>
      <c r="E534" s="12" t="s">
        <v>11</v>
      </c>
      <c r="F534" s="6">
        <v>45138</v>
      </c>
      <c r="G534" s="9" t="s">
        <v>36</v>
      </c>
      <c r="H534" s="9">
        <f t="shared" si="17"/>
        <v>19</v>
      </c>
      <c r="I534" s="9" t="s">
        <v>37</v>
      </c>
      <c r="J534" s="9" t="s">
        <v>36</v>
      </c>
      <c r="K534" s="19">
        <v>43.131</v>
      </c>
      <c r="L534" s="22">
        <v>2.59</v>
      </c>
      <c r="M534" s="22">
        <v>2.0449999999999999</v>
      </c>
      <c r="N534" t="s">
        <v>14</v>
      </c>
    </row>
    <row r="535" spans="1:15" ht="16" x14ac:dyDescent="0.4">
      <c r="A535">
        <v>52</v>
      </c>
      <c r="B535" t="str">
        <f t="shared" si="16"/>
        <v>2023-08-19_0010</v>
      </c>
      <c r="C535" s="8">
        <v>45157</v>
      </c>
      <c r="D535" s="11">
        <v>10</v>
      </c>
      <c r="E535" s="12" t="s">
        <v>15</v>
      </c>
      <c r="F535" s="6">
        <v>45105</v>
      </c>
      <c r="G535" s="9" t="s">
        <v>36</v>
      </c>
      <c r="H535" s="9">
        <f t="shared" si="17"/>
        <v>52</v>
      </c>
      <c r="I535" s="9" t="s">
        <v>17</v>
      </c>
      <c r="J535" s="9" t="s">
        <v>36</v>
      </c>
      <c r="K535" s="19">
        <v>51.463999999999999</v>
      </c>
      <c r="L535" s="22">
        <v>2.7530000000000001</v>
      </c>
      <c r="M535" s="22">
        <v>2.2829999999999999</v>
      </c>
      <c r="N535" t="s">
        <v>14</v>
      </c>
      <c r="O535" t="s">
        <v>42</v>
      </c>
    </row>
    <row r="536" spans="1:15" ht="16" x14ac:dyDescent="0.4">
      <c r="A536">
        <v>52</v>
      </c>
      <c r="B536" t="str">
        <f t="shared" si="16"/>
        <v>2023-08-19_0011</v>
      </c>
      <c r="C536" s="8">
        <v>45157</v>
      </c>
      <c r="D536" s="11">
        <v>11</v>
      </c>
      <c r="E536" s="12" t="s">
        <v>15</v>
      </c>
      <c r="F536" s="6">
        <v>45127</v>
      </c>
      <c r="G536" s="9" t="s">
        <v>36</v>
      </c>
      <c r="H536" s="9">
        <f t="shared" si="17"/>
        <v>30</v>
      </c>
      <c r="I536" s="9" t="s">
        <v>37</v>
      </c>
      <c r="J536" s="9" t="s">
        <v>36</v>
      </c>
      <c r="K536" s="19" t="s">
        <v>21</v>
      </c>
      <c r="L536" s="22">
        <v>2.673</v>
      </c>
      <c r="M536" s="22">
        <v>2.1269999999999998</v>
      </c>
      <c r="N536" t="s">
        <v>16</v>
      </c>
      <c r="O536" t="s">
        <v>104</v>
      </c>
    </row>
    <row r="537" spans="1:15" ht="16" x14ac:dyDescent="0.4">
      <c r="A537">
        <v>52</v>
      </c>
      <c r="B537" t="str">
        <f t="shared" si="16"/>
        <v>2023-08-19_0012</v>
      </c>
      <c r="C537" s="8">
        <v>45157</v>
      </c>
      <c r="D537" s="11">
        <v>12</v>
      </c>
      <c r="E537" s="12" t="s">
        <v>11</v>
      </c>
      <c r="F537" s="6">
        <v>45131</v>
      </c>
      <c r="G537" s="9" t="s">
        <v>39</v>
      </c>
      <c r="H537" s="9">
        <f t="shared" si="17"/>
        <v>26</v>
      </c>
      <c r="I537" s="9" t="s">
        <v>18</v>
      </c>
      <c r="J537" s="9" t="s">
        <v>36</v>
      </c>
      <c r="K537" s="19" t="s">
        <v>21</v>
      </c>
      <c r="L537" s="22">
        <v>2.706</v>
      </c>
      <c r="M537" s="22">
        <v>2.2109999999999999</v>
      </c>
      <c r="N537" t="s">
        <v>16</v>
      </c>
      <c r="O537" t="s">
        <v>105</v>
      </c>
    </row>
    <row r="538" spans="1:15" ht="16" x14ac:dyDescent="0.4">
      <c r="A538">
        <v>52</v>
      </c>
      <c r="B538" t="str">
        <f t="shared" si="16"/>
        <v>2023-08-19_0013</v>
      </c>
      <c r="C538" s="8">
        <v>45157</v>
      </c>
      <c r="D538" s="11">
        <v>13</v>
      </c>
      <c r="E538" s="12" t="s">
        <v>15</v>
      </c>
      <c r="F538" s="6">
        <v>45129</v>
      </c>
      <c r="G538" s="9" t="s">
        <v>36</v>
      </c>
      <c r="H538" s="9">
        <f t="shared" si="17"/>
        <v>28</v>
      </c>
      <c r="I538" s="9" t="s">
        <v>18</v>
      </c>
      <c r="J538" s="9" t="s">
        <v>36</v>
      </c>
      <c r="K538" s="19">
        <v>39.893000000000001</v>
      </c>
      <c r="L538" s="22">
        <v>2.2909999999999999</v>
      </c>
      <c r="M538" s="22">
        <v>1.8979999999999999</v>
      </c>
      <c r="N538" t="s">
        <v>14</v>
      </c>
      <c r="O538" t="s">
        <v>42</v>
      </c>
    </row>
    <row r="539" spans="1:15" ht="16" x14ac:dyDescent="0.4">
      <c r="A539">
        <v>52</v>
      </c>
      <c r="B539" t="str">
        <f t="shared" si="16"/>
        <v>2023-08-19_0014</v>
      </c>
      <c r="C539" s="8">
        <v>45157</v>
      </c>
      <c r="D539" s="11">
        <v>14</v>
      </c>
      <c r="E539" s="12" t="s">
        <v>15</v>
      </c>
      <c r="F539" s="6">
        <v>45126</v>
      </c>
      <c r="G539" s="9" t="s">
        <v>36</v>
      </c>
      <c r="H539" s="9">
        <f t="shared" si="17"/>
        <v>31</v>
      </c>
      <c r="I539" s="9" t="s">
        <v>37</v>
      </c>
      <c r="J539" s="9" t="s">
        <v>36</v>
      </c>
      <c r="K539" s="19" t="s">
        <v>21</v>
      </c>
      <c r="L539" s="22">
        <v>2.8319999999999999</v>
      </c>
      <c r="M539" s="22">
        <v>2.2629999999999999</v>
      </c>
      <c r="N539" t="s">
        <v>16</v>
      </c>
      <c r="O539" t="s">
        <v>104</v>
      </c>
    </row>
    <row r="540" spans="1:15" ht="16" x14ac:dyDescent="0.4">
      <c r="A540">
        <v>18</v>
      </c>
      <c r="B540" t="str">
        <f t="shared" si="16"/>
        <v>2023-08-18_0001</v>
      </c>
      <c r="C540" s="8">
        <v>45156</v>
      </c>
      <c r="D540" s="11">
        <v>1</v>
      </c>
      <c r="E540" s="12" t="s">
        <v>15</v>
      </c>
      <c r="F540" s="6">
        <v>45125</v>
      </c>
      <c r="G540" s="9" t="s">
        <v>36</v>
      </c>
      <c r="H540" s="9">
        <f t="shared" si="17"/>
        <v>31</v>
      </c>
      <c r="I540" s="9" t="s">
        <v>38</v>
      </c>
      <c r="J540" s="9" t="s">
        <v>36</v>
      </c>
      <c r="K540" s="19">
        <v>44.567</v>
      </c>
      <c r="L540" s="22">
        <v>2.2749999999999999</v>
      </c>
      <c r="M540" s="22">
        <v>1.99</v>
      </c>
      <c r="N540" t="s">
        <v>14</v>
      </c>
      <c r="O540" t="s">
        <v>55</v>
      </c>
    </row>
    <row r="541" spans="1:15" ht="16" x14ac:dyDescent="0.4">
      <c r="A541">
        <v>18</v>
      </c>
      <c r="B541" t="str">
        <f t="shared" si="16"/>
        <v>2023-08-18_0002</v>
      </c>
      <c r="C541" s="8">
        <v>45156</v>
      </c>
      <c r="D541" s="11">
        <v>2</v>
      </c>
      <c r="E541" s="12" t="s">
        <v>15</v>
      </c>
      <c r="F541" s="6">
        <v>45141</v>
      </c>
      <c r="G541" s="9" t="s">
        <v>36</v>
      </c>
      <c r="H541" s="9">
        <f t="shared" si="17"/>
        <v>15</v>
      </c>
      <c r="I541" s="9" t="s">
        <v>38</v>
      </c>
      <c r="J541" s="9" t="s">
        <v>36</v>
      </c>
      <c r="K541" s="19">
        <v>43.569000000000003</v>
      </c>
      <c r="L541" s="22">
        <v>2.3439999999999999</v>
      </c>
      <c r="M541" s="22">
        <v>1.9570000000000001</v>
      </c>
      <c r="N541" t="s">
        <v>14</v>
      </c>
    </row>
    <row r="542" spans="1:15" ht="16" x14ac:dyDescent="0.4">
      <c r="A542">
        <v>18</v>
      </c>
      <c r="B542" t="str">
        <f t="shared" si="16"/>
        <v>2023-08-18_0003</v>
      </c>
      <c r="C542" s="8">
        <v>45156</v>
      </c>
      <c r="D542" s="11">
        <v>3</v>
      </c>
      <c r="E542" s="12" t="s">
        <v>11</v>
      </c>
      <c r="F542" s="6">
        <v>45120</v>
      </c>
      <c r="G542" s="9" t="s">
        <v>36</v>
      </c>
      <c r="H542" s="9">
        <f t="shared" si="17"/>
        <v>36</v>
      </c>
      <c r="I542" s="9" t="s">
        <v>17</v>
      </c>
      <c r="J542" s="9" t="s">
        <v>36</v>
      </c>
      <c r="K542" s="19">
        <v>45.802</v>
      </c>
      <c r="L542" s="22">
        <v>2.5529999999999999</v>
      </c>
      <c r="M542" s="22">
        <v>1.895</v>
      </c>
      <c r="N542" t="s">
        <v>14</v>
      </c>
    </row>
    <row r="543" spans="1:15" ht="16" x14ac:dyDescent="0.4">
      <c r="A543">
        <v>18</v>
      </c>
      <c r="B543" t="str">
        <f t="shared" si="16"/>
        <v>2023-08-18_0004</v>
      </c>
      <c r="C543" s="8">
        <v>45156</v>
      </c>
      <c r="D543" s="11">
        <v>4</v>
      </c>
      <c r="E543" s="12" t="s">
        <v>11</v>
      </c>
      <c r="F543" s="6">
        <v>45141</v>
      </c>
      <c r="G543" s="9" t="s">
        <v>36</v>
      </c>
      <c r="H543" s="9">
        <f t="shared" si="17"/>
        <v>15</v>
      </c>
      <c r="I543" s="9" t="s">
        <v>38</v>
      </c>
      <c r="J543" s="9" t="s">
        <v>36</v>
      </c>
      <c r="K543" s="19">
        <v>45.704000000000001</v>
      </c>
      <c r="L543" s="22">
        <v>2.448</v>
      </c>
      <c r="M543" s="22">
        <v>2.181</v>
      </c>
      <c r="N543" t="s">
        <v>14</v>
      </c>
    </row>
    <row r="544" spans="1:15" ht="16" x14ac:dyDescent="0.4">
      <c r="A544">
        <v>18</v>
      </c>
      <c r="B544" t="str">
        <f t="shared" si="16"/>
        <v>2023-08-18_0005</v>
      </c>
      <c r="C544" s="8">
        <v>45156</v>
      </c>
      <c r="D544" s="11">
        <v>5</v>
      </c>
      <c r="E544" s="12" t="s">
        <v>11</v>
      </c>
      <c r="F544" s="6">
        <v>45145</v>
      </c>
      <c r="G544" s="9" t="s">
        <v>36</v>
      </c>
      <c r="H544" s="9">
        <f t="shared" si="17"/>
        <v>11</v>
      </c>
      <c r="I544" s="9" t="s">
        <v>18</v>
      </c>
      <c r="J544" s="9" t="s">
        <v>36</v>
      </c>
      <c r="K544" s="19">
        <v>42.082999999999998</v>
      </c>
      <c r="L544" s="22">
        <v>2.282</v>
      </c>
      <c r="M544" s="22">
        <v>1.958</v>
      </c>
      <c r="N544" t="s">
        <v>14</v>
      </c>
    </row>
    <row r="545" spans="1:15" ht="16" x14ac:dyDescent="0.4">
      <c r="A545">
        <v>18</v>
      </c>
      <c r="B545" t="str">
        <f t="shared" si="16"/>
        <v>2023-08-18_0006</v>
      </c>
      <c r="C545" s="8">
        <v>45156</v>
      </c>
      <c r="D545" s="11">
        <v>6</v>
      </c>
      <c r="E545" s="12" t="s">
        <v>15</v>
      </c>
      <c r="F545" s="6">
        <v>45131</v>
      </c>
      <c r="G545" s="9" t="s">
        <v>39</v>
      </c>
      <c r="H545" s="9">
        <f t="shared" si="17"/>
        <v>25</v>
      </c>
      <c r="I545" s="9" t="s">
        <v>18</v>
      </c>
      <c r="J545" s="9" t="s">
        <v>39</v>
      </c>
      <c r="K545" s="19">
        <v>43.182000000000002</v>
      </c>
      <c r="L545" s="22">
        <v>2.2519999999999998</v>
      </c>
      <c r="M545" s="22">
        <v>1.7929999999999999</v>
      </c>
      <c r="N545" t="s">
        <v>14</v>
      </c>
      <c r="O545" t="s">
        <v>106</v>
      </c>
    </row>
    <row r="546" spans="1:15" ht="16" x14ac:dyDescent="0.4">
      <c r="A546">
        <v>18</v>
      </c>
      <c r="B546" t="str">
        <f t="shared" si="16"/>
        <v>2023-08-18_0007</v>
      </c>
      <c r="C546" s="8">
        <v>45156</v>
      </c>
      <c r="D546" s="11">
        <v>7</v>
      </c>
      <c r="E546" s="12" t="s">
        <v>15</v>
      </c>
      <c r="F546" s="6">
        <v>45139</v>
      </c>
      <c r="G546" s="9" t="s">
        <v>36</v>
      </c>
      <c r="H546" s="9">
        <f t="shared" si="17"/>
        <v>17</v>
      </c>
      <c r="I546" s="9" t="s">
        <v>38</v>
      </c>
      <c r="J546" s="9" t="s">
        <v>36</v>
      </c>
      <c r="K546" s="19">
        <v>44.722000000000001</v>
      </c>
      <c r="L546" s="22">
        <v>2.3479999999999999</v>
      </c>
      <c r="M546" s="22">
        <v>1.845</v>
      </c>
      <c r="N546" t="s">
        <v>14</v>
      </c>
    </row>
    <row r="547" spans="1:15" ht="16" x14ac:dyDescent="0.4">
      <c r="A547">
        <v>18</v>
      </c>
      <c r="B547" t="str">
        <f t="shared" si="16"/>
        <v>2023-08-18_0008</v>
      </c>
      <c r="C547" s="8">
        <v>45156</v>
      </c>
      <c r="D547" s="11">
        <v>8</v>
      </c>
      <c r="E547" s="12" t="s">
        <v>15</v>
      </c>
      <c r="F547" s="6">
        <v>45139</v>
      </c>
      <c r="G547" s="9" t="s">
        <v>36</v>
      </c>
      <c r="H547" s="9">
        <f t="shared" si="17"/>
        <v>17</v>
      </c>
      <c r="I547" s="9" t="s">
        <v>38</v>
      </c>
      <c r="J547" s="9" t="s">
        <v>36</v>
      </c>
      <c r="K547" s="19">
        <v>45.552</v>
      </c>
      <c r="L547" s="22">
        <v>2.391</v>
      </c>
      <c r="M547" s="22">
        <v>1.9179999999999999</v>
      </c>
      <c r="N547" t="s">
        <v>14</v>
      </c>
    </row>
    <row r="548" spans="1:15" ht="16" x14ac:dyDescent="0.4">
      <c r="A548">
        <v>18</v>
      </c>
      <c r="B548" t="str">
        <f t="shared" si="16"/>
        <v>2023-08-18_0009</v>
      </c>
      <c r="C548" s="8">
        <v>45156</v>
      </c>
      <c r="D548" s="11">
        <v>9</v>
      </c>
      <c r="E548" s="12" t="s">
        <v>11</v>
      </c>
      <c r="F548" s="6">
        <v>45121</v>
      </c>
      <c r="G548" s="9" t="s">
        <v>36</v>
      </c>
      <c r="H548" s="9">
        <f t="shared" si="17"/>
        <v>35</v>
      </c>
      <c r="I548" s="9" t="s">
        <v>17</v>
      </c>
      <c r="J548" s="9" t="s">
        <v>36</v>
      </c>
      <c r="K548" s="19">
        <v>44.795000000000002</v>
      </c>
      <c r="L548" s="22">
        <v>2.46</v>
      </c>
      <c r="M548" s="22">
        <v>2.0049999999999999</v>
      </c>
      <c r="N548" t="s">
        <v>14</v>
      </c>
    </row>
    <row r="549" spans="1:15" ht="16" x14ac:dyDescent="0.4">
      <c r="A549">
        <v>18</v>
      </c>
      <c r="B549" t="str">
        <f t="shared" si="16"/>
        <v>2023-08-18_0010</v>
      </c>
      <c r="C549" s="8">
        <v>45156</v>
      </c>
      <c r="D549" s="11">
        <v>10</v>
      </c>
      <c r="E549" s="12" t="s">
        <v>15</v>
      </c>
      <c r="F549" s="6">
        <v>45128</v>
      </c>
      <c r="G549" s="9" t="s">
        <v>36</v>
      </c>
      <c r="H549" s="9">
        <f t="shared" si="17"/>
        <v>28</v>
      </c>
      <c r="I549" s="9" t="s">
        <v>38</v>
      </c>
      <c r="J549" s="9" t="s">
        <v>39</v>
      </c>
      <c r="K549" s="19">
        <v>43.674999999999997</v>
      </c>
      <c r="L549" s="22">
        <v>2.4359999999999999</v>
      </c>
      <c r="M549" s="22">
        <v>1.9279999999999999</v>
      </c>
      <c r="N549" t="s">
        <v>14</v>
      </c>
      <c r="O549" t="s">
        <v>41</v>
      </c>
    </row>
    <row r="550" spans="1:15" ht="16" x14ac:dyDescent="0.4">
      <c r="A550">
        <v>19</v>
      </c>
      <c r="B550" t="str">
        <f t="shared" si="16"/>
        <v>2023-08-18_0011</v>
      </c>
      <c r="C550" s="8">
        <v>45156</v>
      </c>
      <c r="D550" s="11">
        <v>11</v>
      </c>
      <c r="E550" s="12" t="s">
        <v>11</v>
      </c>
      <c r="F550" s="6">
        <v>45125</v>
      </c>
      <c r="G550" s="9" t="s">
        <v>36</v>
      </c>
      <c r="H550" s="9">
        <f t="shared" si="17"/>
        <v>31</v>
      </c>
      <c r="I550" s="9" t="s">
        <v>18</v>
      </c>
      <c r="J550" s="9" t="s">
        <v>36</v>
      </c>
      <c r="K550" s="19">
        <v>47.183</v>
      </c>
      <c r="L550" s="22">
        <v>2.609</v>
      </c>
      <c r="M550" s="22">
        <v>2.2290000000000001</v>
      </c>
      <c r="N550" t="s">
        <v>14</v>
      </c>
    </row>
    <row r="551" spans="1:15" ht="16" x14ac:dyDescent="0.4">
      <c r="A551">
        <v>19</v>
      </c>
      <c r="B551" t="str">
        <f t="shared" si="16"/>
        <v>2023-08-18_0012</v>
      </c>
      <c r="C551" s="8">
        <v>45156</v>
      </c>
      <c r="D551" s="11">
        <v>12</v>
      </c>
      <c r="E551" s="12" t="s">
        <v>15</v>
      </c>
      <c r="F551" s="6">
        <v>45127</v>
      </c>
      <c r="G551" s="9" t="s">
        <v>39</v>
      </c>
      <c r="H551" s="9">
        <f t="shared" si="17"/>
        <v>29</v>
      </c>
      <c r="I551" s="9" t="s">
        <v>17</v>
      </c>
      <c r="J551" s="9" t="s">
        <v>39</v>
      </c>
      <c r="K551" s="19">
        <v>43.344000000000001</v>
      </c>
      <c r="L551" s="22">
        <v>2.2330000000000001</v>
      </c>
      <c r="M551" s="22">
        <v>1.9219999999999999</v>
      </c>
      <c r="N551" t="s">
        <v>14</v>
      </c>
      <c r="O551" t="s">
        <v>107</v>
      </c>
    </row>
    <row r="552" spans="1:15" ht="16" x14ac:dyDescent="0.4">
      <c r="A552">
        <v>19</v>
      </c>
      <c r="B552" t="str">
        <f t="shared" si="16"/>
        <v>2023-08-18_0013</v>
      </c>
      <c r="C552" s="8">
        <v>45156</v>
      </c>
      <c r="D552" s="11">
        <v>13</v>
      </c>
      <c r="E552" s="12" t="s">
        <v>11</v>
      </c>
      <c r="F552" s="6">
        <v>45131</v>
      </c>
      <c r="G552" s="9" t="s">
        <v>39</v>
      </c>
      <c r="H552" s="9">
        <f t="shared" si="17"/>
        <v>25</v>
      </c>
      <c r="I552" s="9" t="s">
        <v>12</v>
      </c>
      <c r="J552" s="9" t="s">
        <v>36</v>
      </c>
      <c r="K552" s="19">
        <v>44.095999999999997</v>
      </c>
      <c r="L552" s="22">
        <v>2.3359999999999999</v>
      </c>
      <c r="M552" s="22">
        <v>1.9670000000000001</v>
      </c>
      <c r="N552" t="s">
        <v>14</v>
      </c>
      <c r="O552" t="s">
        <v>40</v>
      </c>
    </row>
    <row r="553" spans="1:15" ht="16" x14ac:dyDescent="0.4">
      <c r="A553">
        <v>19</v>
      </c>
      <c r="B553" t="str">
        <f t="shared" si="16"/>
        <v>2023-08-18_0014</v>
      </c>
      <c r="C553" s="8">
        <v>45156</v>
      </c>
      <c r="D553" s="11">
        <v>14</v>
      </c>
      <c r="E553" s="12" t="s">
        <v>11</v>
      </c>
      <c r="F553" s="6">
        <v>45125</v>
      </c>
      <c r="G553" s="9" t="s">
        <v>36</v>
      </c>
      <c r="H553" s="9">
        <f t="shared" si="17"/>
        <v>31</v>
      </c>
      <c r="I553" s="9" t="s">
        <v>38</v>
      </c>
      <c r="J553" s="9" t="s">
        <v>36</v>
      </c>
      <c r="K553" s="19">
        <v>43.908000000000001</v>
      </c>
      <c r="L553" s="22">
        <v>2.5299999999999998</v>
      </c>
      <c r="M553" s="22">
        <v>2.137</v>
      </c>
      <c r="N553" t="s">
        <v>14</v>
      </c>
      <c r="O553" t="s">
        <v>42</v>
      </c>
    </row>
    <row r="554" spans="1:15" ht="16" x14ac:dyDescent="0.4">
      <c r="A554">
        <v>19</v>
      </c>
      <c r="B554" t="str">
        <f t="shared" si="16"/>
        <v>2023-08-18_0015</v>
      </c>
      <c r="C554" s="8">
        <v>45156</v>
      </c>
      <c r="D554" s="11">
        <v>15</v>
      </c>
      <c r="E554" s="12" t="s">
        <v>15</v>
      </c>
      <c r="F554" s="6">
        <v>45127</v>
      </c>
      <c r="G554" s="9" t="s">
        <v>36</v>
      </c>
      <c r="H554" s="9">
        <f t="shared" si="17"/>
        <v>29</v>
      </c>
      <c r="I554" s="9" t="s">
        <v>38</v>
      </c>
      <c r="J554" s="9" t="s">
        <v>36</v>
      </c>
      <c r="K554" s="19">
        <v>42.182000000000002</v>
      </c>
      <c r="L554" s="22">
        <v>2.17</v>
      </c>
      <c r="M554" s="22">
        <v>1.855</v>
      </c>
      <c r="N554" t="s">
        <v>14</v>
      </c>
      <c r="O554" t="s">
        <v>42</v>
      </c>
    </row>
    <row r="555" spans="1:15" x14ac:dyDescent="0.35">
      <c r="A555">
        <v>19</v>
      </c>
      <c r="B555" t="str">
        <f t="shared" si="16"/>
        <v>2023-08-18_0016</v>
      </c>
      <c r="C555" s="8">
        <v>45156</v>
      </c>
      <c r="D555" s="11">
        <v>16</v>
      </c>
      <c r="E555" s="12" t="s">
        <v>15</v>
      </c>
      <c r="F555" s="6">
        <v>45141</v>
      </c>
      <c r="G555" s="9" t="s">
        <v>36</v>
      </c>
      <c r="H555" s="9">
        <f t="shared" si="17"/>
        <v>15</v>
      </c>
      <c r="I555" s="9" t="s">
        <v>38</v>
      </c>
      <c r="J555" s="9" t="s">
        <v>36</v>
      </c>
      <c r="K555" s="19">
        <v>43.109000000000002</v>
      </c>
      <c r="L555" s="23">
        <v>2.2669999999999999</v>
      </c>
      <c r="M555" s="23">
        <v>1.8140000000000001</v>
      </c>
      <c r="N555" t="s">
        <v>14</v>
      </c>
    </row>
    <row r="556" spans="1:15" x14ac:dyDescent="0.35">
      <c r="A556">
        <v>19</v>
      </c>
      <c r="B556" t="str">
        <f t="shared" si="16"/>
        <v>2023-08-18_0017</v>
      </c>
      <c r="C556" s="8">
        <v>45156</v>
      </c>
      <c r="D556" s="11">
        <v>17</v>
      </c>
      <c r="E556" s="12" t="s">
        <v>11</v>
      </c>
      <c r="F556" s="6" t="s">
        <v>21</v>
      </c>
      <c r="G556" s="9" t="s">
        <v>21</v>
      </c>
      <c r="H556" s="9" t="str">
        <f t="shared" si="17"/>
        <v>NA</v>
      </c>
      <c r="I556" s="9" t="s">
        <v>12</v>
      </c>
      <c r="J556" s="9" t="s">
        <v>36</v>
      </c>
      <c r="K556" s="19">
        <v>42.015000000000001</v>
      </c>
      <c r="L556" s="23">
        <v>2.4319999999999999</v>
      </c>
      <c r="M556" s="23">
        <v>1.962</v>
      </c>
      <c r="N556" t="s">
        <v>14</v>
      </c>
      <c r="O556" t="s">
        <v>74</v>
      </c>
    </row>
    <row r="557" spans="1:15" x14ac:dyDescent="0.35">
      <c r="A557">
        <v>19</v>
      </c>
      <c r="B557" t="str">
        <f t="shared" si="16"/>
        <v>2023-08-18_0018</v>
      </c>
      <c r="C557" s="8">
        <v>45156</v>
      </c>
      <c r="D557" s="11">
        <v>18</v>
      </c>
      <c r="E557" s="12" t="s">
        <v>11</v>
      </c>
      <c r="F557" s="6">
        <v>45141</v>
      </c>
      <c r="G557" s="9" t="s">
        <v>39</v>
      </c>
      <c r="H557" s="9">
        <f t="shared" si="17"/>
        <v>15</v>
      </c>
      <c r="I557" s="9" t="s">
        <v>18</v>
      </c>
      <c r="J557" s="9" t="s">
        <v>39</v>
      </c>
      <c r="K557" s="19" t="s">
        <v>21</v>
      </c>
      <c r="L557" s="23">
        <v>2.0630000000000002</v>
      </c>
      <c r="M557" s="23">
        <v>1.63</v>
      </c>
      <c r="N557" t="s">
        <v>16</v>
      </c>
      <c r="O557" t="s">
        <v>67</v>
      </c>
    </row>
    <row r="558" spans="1:15" ht="16" x14ac:dyDescent="0.4">
      <c r="A558">
        <v>25</v>
      </c>
      <c r="B558" t="str">
        <f t="shared" si="16"/>
        <v>2023-08-16_0001</v>
      </c>
      <c r="C558" s="8">
        <v>45154</v>
      </c>
      <c r="D558" s="11">
        <v>1</v>
      </c>
      <c r="E558" s="12" t="s">
        <v>11</v>
      </c>
      <c r="F558" s="6">
        <v>45122</v>
      </c>
      <c r="G558" s="9" t="s">
        <v>36</v>
      </c>
      <c r="H558" s="9">
        <f t="shared" si="17"/>
        <v>32</v>
      </c>
      <c r="I558" s="9" t="s">
        <v>12</v>
      </c>
      <c r="J558" s="9" t="s">
        <v>36</v>
      </c>
      <c r="K558" s="19">
        <v>49.779000000000003</v>
      </c>
      <c r="L558" s="22">
        <v>2.448</v>
      </c>
      <c r="M558" s="22">
        <v>1.986</v>
      </c>
      <c r="N558" t="s">
        <v>14</v>
      </c>
    </row>
    <row r="559" spans="1:15" ht="16" x14ac:dyDescent="0.4">
      <c r="A559">
        <v>25</v>
      </c>
      <c r="B559" t="str">
        <f t="shared" si="16"/>
        <v>2023-08-16_0002</v>
      </c>
      <c r="C559" s="8">
        <v>45154</v>
      </c>
      <c r="D559" s="11">
        <v>2</v>
      </c>
      <c r="E559" s="12" t="s">
        <v>15</v>
      </c>
      <c r="F559" s="6">
        <v>45127</v>
      </c>
      <c r="G559" s="9" t="s">
        <v>36</v>
      </c>
      <c r="H559" s="9">
        <f t="shared" si="17"/>
        <v>27</v>
      </c>
      <c r="I559" s="9" t="s">
        <v>38</v>
      </c>
      <c r="J559" s="9" t="s">
        <v>36</v>
      </c>
      <c r="K559" s="19">
        <v>46.921999999999997</v>
      </c>
      <c r="L559" s="22">
        <v>2.3679999999999999</v>
      </c>
      <c r="M559" s="22">
        <v>1.9279999999999999</v>
      </c>
      <c r="N559" t="s">
        <v>14</v>
      </c>
    </row>
    <row r="560" spans="1:15" ht="16" x14ac:dyDescent="0.4">
      <c r="A560">
        <v>25</v>
      </c>
      <c r="B560" t="str">
        <f t="shared" si="16"/>
        <v>2023-08-16_0003</v>
      </c>
      <c r="C560" s="8">
        <v>45154</v>
      </c>
      <c r="D560" s="11">
        <v>3</v>
      </c>
      <c r="E560" s="12" t="s">
        <v>11</v>
      </c>
      <c r="F560" s="6">
        <v>45135</v>
      </c>
      <c r="G560" s="9" t="s">
        <v>39</v>
      </c>
      <c r="H560" s="9">
        <f t="shared" si="17"/>
        <v>19</v>
      </c>
      <c r="I560" s="9" t="s">
        <v>12</v>
      </c>
      <c r="J560" s="9" t="s">
        <v>36</v>
      </c>
      <c r="K560" s="19">
        <v>44.923000000000002</v>
      </c>
      <c r="L560" s="22">
        <v>2.5350000000000001</v>
      </c>
      <c r="M560" s="22">
        <v>2.2109999999999999</v>
      </c>
      <c r="N560" t="s">
        <v>14</v>
      </c>
      <c r="O560" t="s">
        <v>40</v>
      </c>
    </row>
    <row r="561" spans="1:15" ht="16" x14ac:dyDescent="0.4">
      <c r="A561">
        <v>25</v>
      </c>
      <c r="B561" t="str">
        <f t="shared" si="16"/>
        <v>2023-08-16_0004</v>
      </c>
      <c r="C561" s="8">
        <v>45154</v>
      </c>
      <c r="D561" s="11">
        <v>4</v>
      </c>
      <c r="E561" s="12" t="s">
        <v>11</v>
      </c>
      <c r="F561" s="6">
        <v>45141</v>
      </c>
      <c r="G561" s="9" t="s">
        <v>39</v>
      </c>
      <c r="H561" s="9">
        <f t="shared" si="17"/>
        <v>13</v>
      </c>
      <c r="I561" s="9" t="s">
        <v>12</v>
      </c>
      <c r="J561" s="9" t="s">
        <v>36</v>
      </c>
      <c r="K561" s="19">
        <v>47.015000000000001</v>
      </c>
      <c r="L561" s="22">
        <v>2.4009999999999998</v>
      </c>
      <c r="M561" s="22">
        <v>1.89</v>
      </c>
      <c r="N561" t="s">
        <v>14</v>
      </c>
      <c r="O561" t="s">
        <v>40</v>
      </c>
    </row>
    <row r="562" spans="1:15" ht="16" x14ac:dyDescent="0.4">
      <c r="A562">
        <v>25</v>
      </c>
      <c r="B562" t="str">
        <f t="shared" si="16"/>
        <v>2023-08-16_0005</v>
      </c>
      <c r="C562" s="8">
        <v>45154</v>
      </c>
      <c r="D562" s="11">
        <v>5</v>
      </c>
      <c r="E562" s="12" t="s">
        <v>15</v>
      </c>
      <c r="F562" s="6">
        <v>45135</v>
      </c>
      <c r="G562" s="9" t="s">
        <v>39</v>
      </c>
      <c r="H562" s="9">
        <f t="shared" si="17"/>
        <v>19</v>
      </c>
      <c r="I562" s="9" t="s">
        <v>38</v>
      </c>
      <c r="J562" s="9" t="s">
        <v>36</v>
      </c>
      <c r="K562" s="19">
        <v>46.91</v>
      </c>
      <c r="L562" s="22">
        <v>2.573</v>
      </c>
      <c r="M562" s="22">
        <v>2.105</v>
      </c>
      <c r="N562" t="s">
        <v>14</v>
      </c>
      <c r="O562" t="s">
        <v>40</v>
      </c>
    </row>
    <row r="563" spans="1:15" ht="16" x14ac:dyDescent="0.4">
      <c r="A563">
        <v>25</v>
      </c>
      <c r="B563" t="str">
        <f t="shared" si="16"/>
        <v>2023-08-16_0006</v>
      </c>
      <c r="C563" s="8">
        <v>45154</v>
      </c>
      <c r="D563" s="11">
        <v>6</v>
      </c>
      <c r="E563" s="12" t="s">
        <v>11</v>
      </c>
      <c r="F563" s="6">
        <v>45131</v>
      </c>
      <c r="G563" s="9" t="s">
        <v>36</v>
      </c>
      <c r="H563" s="9">
        <f t="shared" si="17"/>
        <v>23</v>
      </c>
      <c r="I563" s="9" t="s">
        <v>38</v>
      </c>
      <c r="J563" s="9" t="s">
        <v>36</v>
      </c>
      <c r="K563" s="19">
        <v>39.604999999999997</v>
      </c>
      <c r="L563" s="22">
        <v>2.6749999999999998</v>
      </c>
      <c r="M563" s="22">
        <v>1.982</v>
      </c>
      <c r="N563" t="s">
        <v>14</v>
      </c>
    </row>
    <row r="564" spans="1:15" ht="16" x14ac:dyDescent="0.4">
      <c r="A564">
        <v>25</v>
      </c>
      <c r="B564" t="str">
        <f t="shared" si="16"/>
        <v>2023-08-16_0007</v>
      </c>
      <c r="C564" s="8">
        <v>45154</v>
      </c>
      <c r="D564" s="11">
        <v>7</v>
      </c>
      <c r="E564" s="12" t="s">
        <v>11</v>
      </c>
      <c r="F564" s="6">
        <v>45141</v>
      </c>
      <c r="G564" s="9" t="s">
        <v>36</v>
      </c>
      <c r="H564" s="9">
        <f t="shared" si="17"/>
        <v>13</v>
      </c>
      <c r="I564" s="9" t="s">
        <v>38</v>
      </c>
      <c r="J564" s="9" t="s">
        <v>36</v>
      </c>
      <c r="K564" s="19">
        <v>43.622999999999998</v>
      </c>
      <c r="L564" s="22">
        <v>2.37</v>
      </c>
      <c r="M564" s="22">
        <v>1.958</v>
      </c>
      <c r="N564" t="s">
        <v>14</v>
      </c>
    </row>
    <row r="565" spans="1:15" ht="16" x14ac:dyDescent="0.4">
      <c r="A565">
        <v>25</v>
      </c>
      <c r="B565" t="str">
        <f t="shared" si="16"/>
        <v>2023-08-16_0008</v>
      </c>
      <c r="C565" s="8">
        <v>45154</v>
      </c>
      <c r="D565" s="11">
        <v>8</v>
      </c>
      <c r="E565" s="12" t="s">
        <v>11</v>
      </c>
      <c r="F565" s="6">
        <v>45128</v>
      </c>
      <c r="G565" s="9" t="s">
        <v>36</v>
      </c>
      <c r="H565" s="9">
        <f t="shared" si="17"/>
        <v>26</v>
      </c>
      <c r="I565" s="9" t="s">
        <v>12</v>
      </c>
      <c r="J565" s="9" t="s">
        <v>36</v>
      </c>
      <c r="K565" s="19">
        <v>41.146999999999998</v>
      </c>
      <c r="L565" s="22">
        <v>2.4809999999999999</v>
      </c>
      <c r="M565" s="22">
        <v>2.032</v>
      </c>
      <c r="N565" t="s">
        <v>14</v>
      </c>
    </row>
    <row r="566" spans="1:15" ht="16" x14ac:dyDescent="0.4">
      <c r="A566">
        <v>25</v>
      </c>
      <c r="B566" t="str">
        <f t="shared" si="16"/>
        <v>2023-08-16_0009</v>
      </c>
      <c r="C566" s="8">
        <v>45154</v>
      </c>
      <c r="D566" s="11">
        <v>9</v>
      </c>
      <c r="E566" s="12" t="s">
        <v>15</v>
      </c>
      <c r="F566" s="6">
        <v>45135</v>
      </c>
      <c r="G566" s="9" t="s">
        <v>39</v>
      </c>
      <c r="H566" s="9">
        <f t="shared" si="17"/>
        <v>19</v>
      </c>
      <c r="I566" s="9" t="s">
        <v>38</v>
      </c>
      <c r="J566" s="9" t="s">
        <v>36</v>
      </c>
      <c r="K566" s="19">
        <v>47.122</v>
      </c>
      <c r="L566" s="22">
        <v>2.3580000000000001</v>
      </c>
      <c r="M566" s="22">
        <v>1.8660000000000001</v>
      </c>
      <c r="N566" t="s">
        <v>14</v>
      </c>
      <c r="O566" t="s">
        <v>40</v>
      </c>
    </row>
    <row r="567" spans="1:15" ht="16" x14ac:dyDescent="0.4">
      <c r="A567">
        <v>25</v>
      </c>
      <c r="B567" t="str">
        <f t="shared" si="16"/>
        <v>2023-08-16_0010</v>
      </c>
      <c r="C567" s="8">
        <v>45154</v>
      </c>
      <c r="D567" s="11">
        <v>10</v>
      </c>
      <c r="E567" s="12" t="s">
        <v>15</v>
      </c>
      <c r="F567" s="6">
        <v>45125</v>
      </c>
      <c r="G567" s="9" t="s">
        <v>39</v>
      </c>
      <c r="H567" s="9">
        <f t="shared" si="17"/>
        <v>29</v>
      </c>
      <c r="I567" s="9" t="s">
        <v>38</v>
      </c>
      <c r="J567" s="9" t="s">
        <v>36</v>
      </c>
      <c r="K567" s="19">
        <v>42.503999999999998</v>
      </c>
      <c r="L567" s="22">
        <v>2.3170000000000002</v>
      </c>
      <c r="M567" s="22">
        <v>1.849</v>
      </c>
      <c r="N567" t="s">
        <v>14</v>
      </c>
      <c r="O567" t="s">
        <v>40</v>
      </c>
    </row>
    <row r="568" spans="1:15" ht="16" x14ac:dyDescent="0.4">
      <c r="A568">
        <v>25</v>
      </c>
      <c r="B568" t="str">
        <f t="shared" si="16"/>
        <v>2023-08-16_0011</v>
      </c>
      <c r="C568" s="8">
        <v>45154</v>
      </c>
      <c r="D568" s="11">
        <v>11</v>
      </c>
      <c r="E568" s="12" t="s">
        <v>11</v>
      </c>
      <c r="F568" s="6">
        <v>45125</v>
      </c>
      <c r="G568" s="9" t="s">
        <v>36</v>
      </c>
      <c r="H568" s="9">
        <f t="shared" si="17"/>
        <v>29</v>
      </c>
      <c r="I568" s="9" t="s">
        <v>12</v>
      </c>
      <c r="J568" s="9" t="s">
        <v>36</v>
      </c>
      <c r="K568" s="19">
        <v>45.033000000000001</v>
      </c>
      <c r="L568" s="22">
        <v>2.6970000000000001</v>
      </c>
      <c r="M568" s="22">
        <v>2.1179999999999999</v>
      </c>
      <c r="N568" t="s">
        <v>14</v>
      </c>
      <c r="O568" t="s">
        <v>42</v>
      </c>
    </row>
    <row r="569" spans="1:15" ht="16" x14ac:dyDescent="0.4">
      <c r="A569">
        <v>25</v>
      </c>
      <c r="B569" t="str">
        <f t="shared" si="16"/>
        <v>2023-08-16_0012</v>
      </c>
      <c r="C569" s="8">
        <v>45154</v>
      </c>
      <c r="D569" s="11">
        <v>12</v>
      </c>
      <c r="E569" s="12" t="s">
        <v>15</v>
      </c>
      <c r="F569" s="6">
        <v>45138</v>
      </c>
      <c r="G569" s="9" t="s">
        <v>36</v>
      </c>
      <c r="H569" s="9">
        <f t="shared" si="17"/>
        <v>16</v>
      </c>
      <c r="I569" s="9" t="s">
        <v>37</v>
      </c>
      <c r="J569" s="9" t="s">
        <v>36</v>
      </c>
      <c r="K569" s="19">
        <v>43.066000000000003</v>
      </c>
      <c r="L569" s="22">
        <v>2.1579999999999999</v>
      </c>
      <c r="M569" s="22">
        <v>1.96</v>
      </c>
      <c r="N569" t="s">
        <v>14</v>
      </c>
    </row>
    <row r="570" spans="1:15" ht="16" x14ac:dyDescent="0.4">
      <c r="A570">
        <v>25</v>
      </c>
      <c r="B570" t="str">
        <f t="shared" si="16"/>
        <v>2023-08-16_0013</v>
      </c>
      <c r="C570" s="8">
        <v>45154</v>
      </c>
      <c r="D570" s="11">
        <v>13</v>
      </c>
      <c r="E570" s="12" t="s">
        <v>11</v>
      </c>
      <c r="F570" s="6">
        <v>45126</v>
      </c>
      <c r="G570" s="9" t="s">
        <v>36</v>
      </c>
      <c r="H570" s="9">
        <f t="shared" si="17"/>
        <v>28</v>
      </c>
      <c r="I570" s="9" t="s">
        <v>37</v>
      </c>
      <c r="J570" s="9" t="s">
        <v>36</v>
      </c>
      <c r="K570" s="19">
        <v>44.078000000000003</v>
      </c>
      <c r="L570" s="22">
        <v>2.3570000000000002</v>
      </c>
      <c r="M570" s="22">
        <v>1.927</v>
      </c>
      <c r="N570" t="s">
        <v>14</v>
      </c>
      <c r="O570" t="s">
        <v>42</v>
      </c>
    </row>
    <row r="571" spans="1:15" ht="16" x14ac:dyDescent="0.4">
      <c r="A571">
        <v>25</v>
      </c>
      <c r="B571" t="str">
        <f t="shared" si="16"/>
        <v>2023-08-16_0014</v>
      </c>
      <c r="C571" s="8">
        <v>45154</v>
      </c>
      <c r="D571" s="11">
        <v>14</v>
      </c>
      <c r="E571" s="12" t="s">
        <v>15</v>
      </c>
      <c r="F571" s="6">
        <v>45135</v>
      </c>
      <c r="G571" s="9" t="s">
        <v>39</v>
      </c>
      <c r="H571" s="9">
        <f t="shared" si="17"/>
        <v>19</v>
      </c>
      <c r="I571" s="9" t="s">
        <v>37</v>
      </c>
      <c r="J571" s="9" t="s">
        <v>36</v>
      </c>
      <c r="K571" s="19">
        <v>46.070999999999998</v>
      </c>
      <c r="L571" s="22">
        <v>2.4039999999999999</v>
      </c>
      <c r="M571" s="22">
        <v>1.9430000000000001</v>
      </c>
      <c r="N571" t="s">
        <v>14</v>
      </c>
      <c r="O571" t="s">
        <v>40</v>
      </c>
    </row>
    <row r="572" spans="1:15" ht="16" x14ac:dyDescent="0.4">
      <c r="A572">
        <v>25</v>
      </c>
      <c r="B572" t="str">
        <f t="shared" si="16"/>
        <v>2023-08-16_0015</v>
      </c>
      <c r="C572" s="8">
        <v>45154</v>
      </c>
      <c r="D572" s="11">
        <v>15</v>
      </c>
      <c r="E572" s="12" t="s">
        <v>15</v>
      </c>
      <c r="F572" s="6">
        <v>45135</v>
      </c>
      <c r="G572" s="9" t="s">
        <v>39</v>
      </c>
      <c r="H572" s="9">
        <f t="shared" si="17"/>
        <v>19</v>
      </c>
      <c r="I572" s="9" t="s">
        <v>38</v>
      </c>
      <c r="J572" s="9" t="s">
        <v>36</v>
      </c>
      <c r="K572" s="19">
        <v>46.347999999999999</v>
      </c>
      <c r="L572" s="22">
        <v>2.64</v>
      </c>
      <c r="M572" s="22">
        <v>2.0529999999999999</v>
      </c>
      <c r="N572" t="s">
        <v>14</v>
      </c>
      <c r="O572" t="s">
        <v>40</v>
      </c>
    </row>
    <row r="573" spans="1:15" ht="16" x14ac:dyDescent="0.4">
      <c r="A573">
        <v>26</v>
      </c>
      <c r="B573" t="str">
        <f t="shared" si="16"/>
        <v>2023-08-16_0016</v>
      </c>
      <c r="C573" s="8">
        <v>45154</v>
      </c>
      <c r="D573" s="11">
        <v>16</v>
      </c>
      <c r="E573" s="12" t="s">
        <v>11</v>
      </c>
      <c r="F573" s="6">
        <v>45133</v>
      </c>
      <c r="G573" s="9" t="s">
        <v>39</v>
      </c>
      <c r="H573" s="9">
        <f t="shared" si="17"/>
        <v>21</v>
      </c>
      <c r="I573" s="9" t="s">
        <v>37</v>
      </c>
      <c r="J573" s="9" t="s">
        <v>39</v>
      </c>
      <c r="K573" s="19">
        <v>43.390999999999998</v>
      </c>
      <c r="L573" s="22">
        <v>2.5619999999999998</v>
      </c>
      <c r="M573" s="22">
        <v>2.0350000000000001</v>
      </c>
      <c r="N573" t="s">
        <v>14</v>
      </c>
      <c r="O573" t="s">
        <v>54</v>
      </c>
    </row>
    <row r="574" spans="1:15" ht="16" x14ac:dyDescent="0.4">
      <c r="A574">
        <v>26</v>
      </c>
      <c r="B574" t="str">
        <f t="shared" si="16"/>
        <v>2023-08-16_0017</v>
      </c>
      <c r="C574" s="8">
        <v>45154</v>
      </c>
      <c r="D574" s="11">
        <v>17</v>
      </c>
      <c r="E574" s="12" t="s">
        <v>11</v>
      </c>
      <c r="F574" s="6">
        <v>45128</v>
      </c>
      <c r="G574" s="9" t="s">
        <v>36</v>
      </c>
      <c r="H574" s="9">
        <f t="shared" si="17"/>
        <v>26</v>
      </c>
      <c r="I574" s="9" t="s">
        <v>38</v>
      </c>
      <c r="J574" s="9" t="s">
        <v>36</v>
      </c>
      <c r="K574" s="19">
        <v>45.615000000000002</v>
      </c>
      <c r="L574" s="22">
        <v>2.5259999999999998</v>
      </c>
      <c r="M574" s="22">
        <v>2.0609999999999999</v>
      </c>
      <c r="N574" t="s">
        <v>14</v>
      </c>
    </row>
    <row r="575" spans="1:15" ht="16" x14ac:dyDescent="0.4">
      <c r="A575">
        <v>26</v>
      </c>
      <c r="B575" t="str">
        <f t="shared" si="16"/>
        <v>2023-08-16_0018</v>
      </c>
      <c r="C575" s="8">
        <v>45154</v>
      </c>
      <c r="D575" s="11">
        <v>18</v>
      </c>
      <c r="E575" s="12" t="s">
        <v>15</v>
      </c>
      <c r="F575" s="6">
        <v>45131</v>
      </c>
      <c r="G575" s="9" t="s">
        <v>39</v>
      </c>
      <c r="H575" s="9">
        <f t="shared" si="17"/>
        <v>23</v>
      </c>
      <c r="I575" s="9" t="s">
        <v>37</v>
      </c>
      <c r="J575" s="9" t="s">
        <v>39</v>
      </c>
      <c r="K575" s="19">
        <v>43.625</v>
      </c>
      <c r="L575" s="22">
        <v>2.2490000000000001</v>
      </c>
      <c r="M575" s="22">
        <v>1.9630000000000001</v>
      </c>
      <c r="N575" t="s">
        <v>14</v>
      </c>
      <c r="O575" t="s">
        <v>56</v>
      </c>
    </row>
    <row r="576" spans="1:15" ht="16" x14ac:dyDescent="0.4">
      <c r="A576">
        <v>26</v>
      </c>
      <c r="B576" t="str">
        <f t="shared" si="16"/>
        <v>2023-08-16_0019</v>
      </c>
      <c r="C576" s="8">
        <v>45154</v>
      </c>
      <c r="D576" s="11">
        <v>19</v>
      </c>
      <c r="E576" s="12" t="s">
        <v>15</v>
      </c>
      <c r="F576" s="6">
        <v>45135</v>
      </c>
      <c r="G576" s="9" t="s">
        <v>39</v>
      </c>
      <c r="H576" s="9">
        <f t="shared" si="17"/>
        <v>19</v>
      </c>
      <c r="I576" s="9" t="s">
        <v>12</v>
      </c>
      <c r="J576" s="9" t="s">
        <v>36</v>
      </c>
      <c r="K576" s="19">
        <v>45.008000000000003</v>
      </c>
      <c r="L576" s="22">
        <v>2.383</v>
      </c>
      <c r="M576" s="22">
        <v>2.0760000000000001</v>
      </c>
      <c r="N576" t="s">
        <v>14</v>
      </c>
      <c r="O576" t="s">
        <v>40</v>
      </c>
    </row>
    <row r="577" spans="1:15" ht="16" x14ac:dyDescent="0.4">
      <c r="A577">
        <v>26</v>
      </c>
      <c r="B577" t="str">
        <f t="shared" si="16"/>
        <v>2023-08-16_0020</v>
      </c>
      <c r="C577" s="8">
        <v>45154</v>
      </c>
      <c r="D577" s="11">
        <v>20</v>
      </c>
      <c r="E577" s="12" t="s">
        <v>15</v>
      </c>
      <c r="F577" s="6">
        <v>45125</v>
      </c>
      <c r="G577" s="9" t="s">
        <v>39</v>
      </c>
      <c r="H577" s="9">
        <f t="shared" si="17"/>
        <v>29</v>
      </c>
      <c r="I577" s="9" t="s">
        <v>12</v>
      </c>
      <c r="J577" s="9" t="s">
        <v>36</v>
      </c>
      <c r="K577" s="19">
        <v>45.850999999999999</v>
      </c>
      <c r="L577" s="22">
        <v>2.4249999999999998</v>
      </c>
      <c r="M577" s="22">
        <v>1.9159999999999999</v>
      </c>
      <c r="N577" t="s">
        <v>14</v>
      </c>
      <c r="O577" t="s">
        <v>40</v>
      </c>
    </row>
    <row r="578" spans="1:15" ht="16" x14ac:dyDescent="0.4">
      <c r="A578">
        <v>26</v>
      </c>
      <c r="B578" t="str">
        <f t="shared" ref="B578:B641" si="18">IF(ISBLANK(C578),NA(),_xlfn.CONCAT(TEXT(C578,"YYYY-MM-DD"),"_",TEXT(D578,"0000")))</f>
        <v>2023-08-16_0021</v>
      </c>
      <c r="C578" s="8">
        <v>45154</v>
      </c>
      <c r="D578" s="11">
        <v>21</v>
      </c>
      <c r="E578" s="12" t="s">
        <v>15</v>
      </c>
      <c r="F578" s="6">
        <v>45141</v>
      </c>
      <c r="G578" s="9" t="s">
        <v>36</v>
      </c>
      <c r="H578" s="9">
        <f t="shared" ref="H578:H641" si="19">IF(F578="NA","NA", DATEDIF(F578,C578,"d"))</f>
        <v>13</v>
      </c>
      <c r="I578" s="9" t="s">
        <v>38</v>
      </c>
      <c r="J578" s="9" t="s">
        <v>36</v>
      </c>
      <c r="K578" s="19">
        <v>42.07</v>
      </c>
      <c r="L578" s="22">
        <v>2.1989999999999998</v>
      </c>
      <c r="M578" s="22">
        <v>1.88</v>
      </c>
      <c r="N578" t="s">
        <v>14</v>
      </c>
    </row>
    <row r="579" spans="1:15" ht="16" x14ac:dyDescent="0.4">
      <c r="A579">
        <v>26</v>
      </c>
      <c r="B579" t="str">
        <f t="shared" si="18"/>
        <v>2023-08-16_0022</v>
      </c>
      <c r="C579" s="8">
        <v>45154</v>
      </c>
      <c r="D579" s="11">
        <v>22</v>
      </c>
      <c r="E579" s="12" t="s">
        <v>11</v>
      </c>
      <c r="F579" s="6">
        <v>45125</v>
      </c>
      <c r="G579" s="9" t="s">
        <v>39</v>
      </c>
      <c r="H579" s="9">
        <f t="shared" si="19"/>
        <v>29</v>
      </c>
      <c r="I579" s="9" t="s">
        <v>12</v>
      </c>
      <c r="J579" s="9" t="s">
        <v>39</v>
      </c>
      <c r="K579" s="19">
        <v>46.290999999999997</v>
      </c>
      <c r="L579" s="22">
        <v>2.4540000000000002</v>
      </c>
      <c r="M579" s="22">
        <v>2.0499999999999998</v>
      </c>
      <c r="N579" t="s">
        <v>14</v>
      </c>
      <c r="O579" t="s">
        <v>56</v>
      </c>
    </row>
    <row r="580" spans="1:15" ht="16" x14ac:dyDescent="0.4">
      <c r="A580">
        <v>26</v>
      </c>
      <c r="B580" t="str">
        <f t="shared" si="18"/>
        <v>2023-08-16_0023</v>
      </c>
      <c r="C580" s="8">
        <v>45154</v>
      </c>
      <c r="D580" s="11">
        <v>23</v>
      </c>
      <c r="E580" s="12" t="s">
        <v>15</v>
      </c>
      <c r="F580" s="6">
        <v>45132</v>
      </c>
      <c r="G580" s="9" t="s">
        <v>39</v>
      </c>
      <c r="H580" s="9">
        <f t="shared" si="19"/>
        <v>22</v>
      </c>
      <c r="I580" s="9" t="s">
        <v>38</v>
      </c>
      <c r="J580" s="9" t="s">
        <v>36</v>
      </c>
      <c r="K580" s="19">
        <v>42.320999999999998</v>
      </c>
      <c r="L580" s="22">
        <v>2.1339999999999999</v>
      </c>
      <c r="M580" s="22">
        <v>1.895</v>
      </c>
      <c r="N580" t="s">
        <v>14</v>
      </c>
      <c r="O580" t="s">
        <v>40</v>
      </c>
    </row>
    <row r="581" spans="1:15" ht="16" x14ac:dyDescent="0.4">
      <c r="A581">
        <v>26</v>
      </c>
      <c r="B581" t="str">
        <f t="shared" si="18"/>
        <v>2023-08-16_0024</v>
      </c>
      <c r="C581" s="8">
        <v>45154</v>
      </c>
      <c r="D581" s="11">
        <v>24</v>
      </c>
      <c r="E581" s="12" t="s">
        <v>15</v>
      </c>
      <c r="F581" s="6">
        <v>45127</v>
      </c>
      <c r="G581" s="9" t="s">
        <v>39</v>
      </c>
      <c r="H581" s="9">
        <f t="shared" si="19"/>
        <v>27</v>
      </c>
      <c r="I581" s="9" t="s">
        <v>38</v>
      </c>
      <c r="J581" s="9" t="s">
        <v>36</v>
      </c>
      <c r="K581" s="19">
        <v>45.075000000000003</v>
      </c>
      <c r="L581" s="22">
        <v>2.4089999999999998</v>
      </c>
      <c r="M581" s="22">
        <v>2.0110000000000001</v>
      </c>
      <c r="N581" t="s">
        <v>14</v>
      </c>
      <c r="O581" t="s">
        <v>40</v>
      </c>
    </row>
    <row r="582" spans="1:15" ht="16" x14ac:dyDescent="0.4">
      <c r="A582">
        <v>26</v>
      </c>
      <c r="B582" t="str">
        <f t="shared" si="18"/>
        <v>2023-08-16_0025</v>
      </c>
      <c r="C582" s="8">
        <v>45154</v>
      </c>
      <c r="D582" s="11">
        <v>25</v>
      </c>
      <c r="E582" s="12" t="s">
        <v>15</v>
      </c>
      <c r="F582" s="6">
        <v>45138</v>
      </c>
      <c r="G582" s="9" t="s">
        <v>36</v>
      </c>
      <c r="H582" s="9">
        <f t="shared" si="19"/>
        <v>16</v>
      </c>
      <c r="I582" s="9" t="s">
        <v>18</v>
      </c>
      <c r="J582" s="9" t="s">
        <v>36</v>
      </c>
      <c r="K582" s="19">
        <v>41.761000000000003</v>
      </c>
      <c r="L582" s="22">
        <v>2.2170000000000001</v>
      </c>
      <c r="M582" s="22">
        <v>1.754</v>
      </c>
      <c r="N582" t="s">
        <v>14</v>
      </c>
    </row>
    <row r="583" spans="1:15" ht="16" x14ac:dyDescent="0.4">
      <c r="A583">
        <v>26</v>
      </c>
      <c r="B583" t="str">
        <f t="shared" si="18"/>
        <v>2023-08-16_0026</v>
      </c>
      <c r="C583" s="8">
        <v>45154</v>
      </c>
      <c r="D583" s="11">
        <v>26</v>
      </c>
      <c r="E583" s="12" t="s">
        <v>15</v>
      </c>
      <c r="F583" s="6">
        <v>45145</v>
      </c>
      <c r="G583" s="9" t="s">
        <v>36</v>
      </c>
      <c r="H583" s="9">
        <f t="shared" si="19"/>
        <v>9</v>
      </c>
      <c r="I583" s="9" t="s">
        <v>18</v>
      </c>
      <c r="J583" s="9" t="s">
        <v>36</v>
      </c>
      <c r="K583" s="19">
        <v>43.911999999999999</v>
      </c>
      <c r="L583" s="22">
        <v>2.2519999999999998</v>
      </c>
      <c r="M583" s="22">
        <v>1.9930000000000001</v>
      </c>
      <c r="N583" t="s">
        <v>14</v>
      </c>
    </row>
    <row r="584" spans="1:15" ht="16" x14ac:dyDescent="0.4">
      <c r="A584">
        <v>27</v>
      </c>
      <c r="B584" t="str">
        <f t="shared" si="18"/>
        <v>2023-08-16_0027</v>
      </c>
      <c r="C584" s="8">
        <v>45154</v>
      </c>
      <c r="D584" s="11">
        <v>27</v>
      </c>
      <c r="E584" s="12" t="s">
        <v>15</v>
      </c>
      <c r="F584" s="6">
        <v>45128</v>
      </c>
      <c r="G584" s="9" t="s">
        <v>36</v>
      </c>
      <c r="H584" s="9">
        <f t="shared" si="19"/>
        <v>26</v>
      </c>
      <c r="I584" s="9" t="s">
        <v>38</v>
      </c>
      <c r="J584" s="9" t="s">
        <v>36</v>
      </c>
      <c r="K584" s="19">
        <v>46.131</v>
      </c>
      <c r="L584" s="22">
        <v>2.5169999999999999</v>
      </c>
      <c r="M584" s="22">
        <v>2.125</v>
      </c>
      <c r="N584" t="s">
        <v>14</v>
      </c>
      <c r="O584" t="s">
        <v>85</v>
      </c>
    </row>
    <row r="585" spans="1:15" ht="16" x14ac:dyDescent="0.4">
      <c r="A585">
        <v>27</v>
      </c>
      <c r="B585" t="str">
        <f t="shared" si="18"/>
        <v>2023-08-16_0028</v>
      </c>
      <c r="C585" s="8">
        <v>45154</v>
      </c>
      <c r="D585" s="11">
        <v>28</v>
      </c>
      <c r="E585" s="12" t="s">
        <v>15</v>
      </c>
      <c r="F585" s="6">
        <v>45126</v>
      </c>
      <c r="G585" s="9" t="s">
        <v>36</v>
      </c>
      <c r="H585" s="9">
        <f t="shared" si="19"/>
        <v>28</v>
      </c>
      <c r="I585" s="9" t="s">
        <v>12</v>
      </c>
      <c r="J585" s="9" t="s">
        <v>36</v>
      </c>
      <c r="K585" s="19">
        <v>43.048999999999999</v>
      </c>
      <c r="L585" s="22">
        <v>2.2109999999999999</v>
      </c>
      <c r="M585" s="22">
        <v>1.869</v>
      </c>
      <c r="N585" t="s">
        <v>14</v>
      </c>
    </row>
    <row r="586" spans="1:15" ht="16" x14ac:dyDescent="0.4">
      <c r="A586">
        <v>27</v>
      </c>
      <c r="B586" t="str">
        <f t="shared" si="18"/>
        <v>2023-08-16_0029</v>
      </c>
      <c r="C586" s="8">
        <v>45154</v>
      </c>
      <c r="D586" s="11">
        <v>29</v>
      </c>
      <c r="E586" s="12" t="s">
        <v>15</v>
      </c>
      <c r="F586" s="6" t="s">
        <v>21</v>
      </c>
      <c r="G586" s="9" t="s">
        <v>21</v>
      </c>
      <c r="H586" s="9" t="str">
        <f t="shared" si="19"/>
        <v>NA</v>
      </c>
      <c r="I586" s="9" t="s">
        <v>38</v>
      </c>
      <c r="J586" s="9" t="s">
        <v>36</v>
      </c>
      <c r="K586" s="19">
        <v>43.097999999999999</v>
      </c>
      <c r="L586" s="22">
        <v>2.2890000000000001</v>
      </c>
      <c r="M586" s="22">
        <v>1.913</v>
      </c>
      <c r="N586" t="s">
        <v>14</v>
      </c>
      <c r="O586" t="s">
        <v>108</v>
      </c>
    </row>
    <row r="587" spans="1:15" ht="16" x14ac:dyDescent="0.4">
      <c r="A587">
        <v>27</v>
      </c>
      <c r="B587" t="str">
        <f t="shared" si="18"/>
        <v>2023-08-16_0030</v>
      </c>
      <c r="C587" s="8">
        <v>45154</v>
      </c>
      <c r="D587" s="11">
        <v>30</v>
      </c>
      <c r="E587" s="12" t="s">
        <v>11</v>
      </c>
      <c r="F587" s="6">
        <v>45131</v>
      </c>
      <c r="G587" s="9" t="s">
        <v>36</v>
      </c>
      <c r="H587" s="9">
        <f t="shared" si="19"/>
        <v>23</v>
      </c>
      <c r="I587" s="9" t="s">
        <v>12</v>
      </c>
      <c r="J587" s="9" t="s">
        <v>36</v>
      </c>
      <c r="K587" s="19">
        <v>42.701999999999998</v>
      </c>
      <c r="L587" s="22">
        <v>2.5590000000000002</v>
      </c>
      <c r="M587" s="22">
        <v>2.044</v>
      </c>
      <c r="N587" t="s">
        <v>14</v>
      </c>
      <c r="O587" t="s">
        <v>55</v>
      </c>
    </row>
    <row r="588" spans="1:15" ht="16" x14ac:dyDescent="0.4">
      <c r="A588">
        <v>27</v>
      </c>
      <c r="B588" t="str">
        <f t="shared" si="18"/>
        <v>2023-08-16_0031</v>
      </c>
      <c r="C588" s="8">
        <v>45154</v>
      </c>
      <c r="D588" s="11">
        <v>31</v>
      </c>
      <c r="E588" s="12" t="s">
        <v>11</v>
      </c>
      <c r="F588" s="6">
        <v>45126</v>
      </c>
      <c r="G588" s="9" t="s">
        <v>36</v>
      </c>
      <c r="H588" s="9">
        <f t="shared" si="19"/>
        <v>28</v>
      </c>
      <c r="I588" s="9" t="s">
        <v>12</v>
      </c>
      <c r="J588" s="9" t="s">
        <v>36</v>
      </c>
      <c r="K588" s="19">
        <v>43.976999999999997</v>
      </c>
      <c r="L588" s="22">
        <v>2.3780000000000001</v>
      </c>
      <c r="M588" s="22">
        <v>1.863</v>
      </c>
      <c r="N588" t="s">
        <v>14</v>
      </c>
      <c r="O588" t="s">
        <v>42</v>
      </c>
    </row>
    <row r="589" spans="1:15" ht="16" x14ac:dyDescent="0.4">
      <c r="A589">
        <v>28</v>
      </c>
      <c r="B589" t="str">
        <f t="shared" si="18"/>
        <v>2023-08-16_0032</v>
      </c>
      <c r="C589" s="8">
        <v>45154</v>
      </c>
      <c r="D589" s="11">
        <v>32</v>
      </c>
      <c r="E589" s="12" t="s">
        <v>11</v>
      </c>
      <c r="F589" s="6">
        <v>45133</v>
      </c>
      <c r="G589" s="9" t="s">
        <v>39</v>
      </c>
      <c r="H589" s="9">
        <f t="shared" si="19"/>
        <v>21</v>
      </c>
      <c r="I589" s="9" t="s">
        <v>12</v>
      </c>
      <c r="J589" s="9" t="s">
        <v>39</v>
      </c>
      <c r="K589" s="19">
        <v>44.405000000000001</v>
      </c>
      <c r="L589" s="22">
        <v>2.48</v>
      </c>
      <c r="M589" s="22">
        <v>2.0430000000000001</v>
      </c>
      <c r="N589" t="s">
        <v>14</v>
      </c>
      <c r="O589" t="s">
        <v>54</v>
      </c>
    </row>
    <row r="590" spans="1:15" ht="16" x14ac:dyDescent="0.4">
      <c r="A590">
        <v>28</v>
      </c>
      <c r="B590" t="str">
        <f t="shared" si="18"/>
        <v>2023-08-16_0033</v>
      </c>
      <c r="C590" s="8">
        <v>45154</v>
      </c>
      <c r="D590" s="11">
        <v>33</v>
      </c>
      <c r="E590" s="12" t="s">
        <v>15</v>
      </c>
      <c r="F590" s="6">
        <v>45122</v>
      </c>
      <c r="G590" s="9" t="s">
        <v>36</v>
      </c>
      <c r="H590" s="9">
        <f t="shared" si="19"/>
        <v>32</v>
      </c>
      <c r="I590" s="9" t="s">
        <v>12</v>
      </c>
      <c r="J590" s="9" t="s">
        <v>36</v>
      </c>
      <c r="K590" s="19">
        <v>48.978999999999999</v>
      </c>
      <c r="L590" s="22">
        <v>2.54</v>
      </c>
      <c r="M590" s="22">
        <v>2.2229999999999999</v>
      </c>
      <c r="N590" t="s">
        <v>14</v>
      </c>
    </row>
    <row r="591" spans="1:15" ht="16" x14ac:dyDescent="0.4">
      <c r="A591">
        <v>28</v>
      </c>
      <c r="B591" t="str">
        <f t="shared" si="18"/>
        <v>2023-08-16_0034</v>
      </c>
      <c r="C591" s="8">
        <v>45154</v>
      </c>
      <c r="D591" s="11">
        <v>34</v>
      </c>
      <c r="E591" s="12" t="s">
        <v>15</v>
      </c>
      <c r="F591" s="6">
        <v>45139</v>
      </c>
      <c r="G591" s="9" t="s">
        <v>36</v>
      </c>
      <c r="H591" s="9">
        <f t="shared" si="19"/>
        <v>15</v>
      </c>
      <c r="I591" s="9" t="s">
        <v>38</v>
      </c>
      <c r="J591" s="9" t="s">
        <v>36</v>
      </c>
      <c r="K591" s="19">
        <v>42.957999999999998</v>
      </c>
      <c r="L591" s="22">
        <v>2.3210000000000002</v>
      </c>
      <c r="M591" s="22">
        <v>1.802</v>
      </c>
      <c r="N591" t="s">
        <v>14</v>
      </c>
    </row>
    <row r="592" spans="1:15" ht="16" x14ac:dyDescent="0.4">
      <c r="A592">
        <v>29</v>
      </c>
      <c r="B592" t="str">
        <f t="shared" si="18"/>
        <v>2023-08-16_0035</v>
      </c>
      <c r="C592" s="8">
        <v>45154</v>
      </c>
      <c r="D592" s="11">
        <v>35</v>
      </c>
      <c r="E592" s="12" t="s">
        <v>15</v>
      </c>
      <c r="F592" s="6">
        <v>45135</v>
      </c>
      <c r="G592" s="9" t="s">
        <v>39</v>
      </c>
      <c r="H592" s="9">
        <f t="shared" si="19"/>
        <v>19</v>
      </c>
      <c r="I592" s="9" t="s">
        <v>37</v>
      </c>
      <c r="J592" s="9" t="s">
        <v>36</v>
      </c>
      <c r="K592" s="19">
        <v>40.784999999999997</v>
      </c>
      <c r="L592" s="22">
        <v>2.1970000000000001</v>
      </c>
      <c r="M592" s="22">
        <v>1.788</v>
      </c>
      <c r="N592" t="s">
        <v>14</v>
      </c>
      <c r="O592" t="s">
        <v>44</v>
      </c>
    </row>
    <row r="593" spans="1:15" ht="16" x14ac:dyDescent="0.4">
      <c r="A593">
        <v>29</v>
      </c>
      <c r="B593" t="str">
        <f t="shared" si="18"/>
        <v>2023-08-16_0036</v>
      </c>
      <c r="C593" s="8">
        <v>45154</v>
      </c>
      <c r="D593" s="11">
        <v>36</v>
      </c>
      <c r="E593" s="12" t="s">
        <v>15</v>
      </c>
      <c r="F593" s="6">
        <v>45127</v>
      </c>
      <c r="G593" s="9" t="s">
        <v>36</v>
      </c>
      <c r="H593" s="9">
        <f t="shared" si="19"/>
        <v>27</v>
      </c>
      <c r="I593" s="9" t="s">
        <v>12</v>
      </c>
      <c r="J593" s="9" t="s">
        <v>36</v>
      </c>
      <c r="K593" s="19">
        <v>46.640999999999998</v>
      </c>
      <c r="L593" s="22">
        <v>2.6230000000000002</v>
      </c>
      <c r="M593" s="22">
        <v>2.0920000000000001</v>
      </c>
      <c r="N593" t="s">
        <v>14</v>
      </c>
      <c r="O593" t="s">
        <v>55</v>
      </c>
    </row>
    <row r="594" spans="1:15" ht="16" x14ac:dyDescent="0.4">
      <c r="A594">
        <v>29</v>
      </c>
      <c r="B594" t="str">
        <f t="shared" si="18"/>
        <v>2023-08-16_0037</v>
      </c>
      <c r="C594" s="8">
        <v>45154</v>
      </c>
      <c r="D594" s="11">
        <v>37</v>
      </c>
      <c r="E594" s="12" t="s">
        <v>11</v>
      </c>
      <c r="F594" s="6">
        <v>45141</v>
      </c>
      <c r="G594" s="9" t="s">
        <v>36</v>
      </c>
      <c r="H594" s="9">
        <f t="shared" si="19"/>
        <v>13</v>
      </c>
      <c r="I594" s="9" t="s">
        <v>18</v>
      </c>
      <c r="J594" s="9" t="s">
        <v>36</v>
      </c>
      <c r="K594" s="19">
        <v>41.817</v>
      </c>
      <c r="L594" s="22">
        <v>2.383</v>
      </c>
      <c r="M594" s="22">
        <v>1.8320000000000001</v>
      </c>
      <c r="N594" t="s">
        <v>14</v>
      </c>
      <c r="O594" t="s">
        <v>109</v>
      </c>
    </row>
    <row r="595" spans="1:15" ht="16" x14ac:dyDescent="0.4">
      <c r="A595">
        <v>30</v>
      </c>
      <c r="B595" t="str">
        <f t="shared" si="18"/>
        <v>2023-08-16_0038</v>
      </c>
      <c r="C595" s="8">
        <v>45154</v>
      </c>
      <c r="D595" s="11">
        <v>38</v>
      </c>
      <c r="E595" s="12" t="s">
        <v>11</v>
      </c>
      <c r="F595" s="6">
        <v>45128</v>
      </c>
      <c r="G595" s="9" t="s">
        <v>36</v>
      </c>
      <c r="H595" s="9">
        <f t="shared" si="19"/>
        <v>26</v>
      </c>
      <c r="I595" s="9" t="s">
        <v>37</v>
      </c>
      <c r="J595" s="9" t="s">
        <v>36</v>
      </c>
      <c r="K595" s="19" t="s">
        <v>21</v>
      </c>
      <c r="L595" s="22">
        <v>2.6190000000000002</v>
      </c>
      <c r="M595" s="22">
        <v>2.0179999999999998</v>
      </c>
      <c r="N595" t="s">
        <v>16</v>
      </c>
      <c r="O595" t="s">
        <v>104</v>
      </c>
    </row>
    <row r="596" spans="1:15" ht="16" x14ac:dyDescent="0.4">
      <c r="A596">
        <v>30</v>
      </c>
      <c r="B596" t="str">
        <f t="shared" si="18"/>
        <v>2023-08-16_0039</v>
      </c>
      <c r="C596" s="8">
        <v>45154</v>
      </c>
      <c r="D596" s="11">
        <v>39</v>
      </c>
      <c r="E596" s="12" t="s">
        <v>15</v>
      </c>
      <c r="F596" s="6">
        <v>45138</v>
      </c>
      <c r="G596" s="9" t="s">
        <v>36</v>
      </c>
      <c r="H596" s="9">
        <f t="shared" si="19"/>
        <v>16</v>
      </c>
      <c r="I596" s="9" t="s">
        <v>18</v>
      </c>
      <c r="J596" s="9" t="s">
        <v>39</v>
      </c>
      <c r="K596" s="19" t="s">
        <v>21</v>
      </c>
      <c r="L596" s="22">
        <v>2.37</v>
      </c>
      <c r="M596" s="22">
        <v>1.968</v>
      </c>
      <c r="N596" t="s">
        <v>16</v>
      </c>
      <c r="O596" t="s">
        <v>51</v>
      </c>
    </row>
    <row r="597" spans="1:15" ht="16" x14ac:dyDescent="0.4">
      <c r="A597">
        <v>30</v>
      </c>
      <c r="B597" t="str">
        <f t="shared" si="18"/>
        <v>2023-08-16_0040</v>
      </c>
      <c r="C597" s="8">
        <v>45154</v>
      </c>
      <c r="D597" s="11">
        <v>40</v>
      </c>
      <c r="E597" s="12" t="s">
        <v>11</v>
      </c>
      <c r="F597" s="6">
        <v>45122</v>
      </c>
      <c r="G597" s="9" t="s">
        <v>36</v>
      </c>
      <c r="H597" s="9">
        <f t="shared" si="19"/>
        <v>32</v>
      </c>
      <c r="I597" s="9" t="s">
        <v>12</v>
      </c>
      <c r="J597" s="9" t="s">
        <v>36</v>
      </c>
      <c r="K597" s="19" t="s">
        <v>21</v>
      </c>
      <c r="L597" s="22">
        <v>2.5230000000000001</v>
      </c>
      <c r="M597" s="22">
        <v>2.125</v>
      </c>
      <c r="N597" t="s">
        <v>16</v>
      </c>
      <c r="O597" t="s">
        <v>110</v>
      </c>
    </row>
    <row r="598" spans="1:15" ht="16" x14ac:dyDescent="0.4">
      <c r="A598">
        <v>31</v>
      </c>
      <c r="B598" t="str">
        <f t="shared" si="18"/>
        <v>2023-08-16_0041</v>
      </c>
      <c r="C598" s="8">
        <v>45154</v>
      </c>
      <c r="D598" s="11">
        <v>41</v>
      </c>
      <c r="E598" s="12" t="s">
        <v>11</v>
      </c>
      <c r="F598" s="6">
        <v>45128</v>
      </c>
      <c r="G598" s="9" t="s">
        <v>39</v>
      </c>
      <c r="H598" s="9">
        <f t="shared" si="19"/>
        <v>26</v>
      </c>
      <c r="I598" s="9" t="s">
        <v>12</v>
      </c>
      <c r="J598" s="9" t="s">
        <v>39</v>
      </c>
      <c r="K598" s="19">
        <v>41.42</v>
      </c>
      <c r="L598" s="22">
        <v>2.528</v>
      </c>
      <c r="M598" s="22">
        <v>2.2189999999999999</v>
      </c>
      <c r="N598" t="s">
        <v>14</v>
      </c>
      <c r="O598" t="s">
        <v>111</v>
      </c>
    </row>
    <row r="599" spans="1:15" ht="16" x14ac:dyDescent="0.4">
      <c r="A599">
        <v>31</v>
      </c>
      <c r="B599" t="str">
        <f t="shared" si="18"/>
        <v>2023-08-16_0042</v>
      </c>
      <c r="C599" s="8">
        <v>45154</v>
      </c>
      <c r="D599" s="11">
        <v>42</v>
      </c>
      <c r="E599" s="12" t="s">
        <v>11</v>
      </c>
      <c r="F599" s="6">
        <v>45121</v>
      </c>
      <c r="G599" s="9" t="s">
        <v>36</v>
      </c>
      <c r="H599" s="9">
        <f t="shared" si="19"/>
        <v>33</v>
      </c>
      <c r="I599" s="9" t="s">
        <v>12</v>
      </c>
      <c r="J599" s="9" t="s">
        <v>39</v>
      </c>
      <c r="K599" s="19" t="s">
        <v>21</v>
      </c>
      <c r="L599" s="22">
        <v>2.6640000000000001</v>
      </c>
      <c r="M599" s="22">
        <v>2.149</v>
      </c>
      <c r="N599" t="s">
        <v>16</v>
      </c>
      <c r="O599" t="s">
        <v>112</v>
      </c>
    </row>
    <row r="600" spans="1:15" ht="16" x14ac:dyDescent="0.4">
      <c r="A600">
        <v>31</v>
      </c>
      <c r="B600" t="str">
        <f t="shared" si="18"/>
        <v>2023-08-16_0043</v>
      </c>
      <c r="C600" s="8">
        <v>45154</v>
      </c>
      <c r="D600" s="11">
        <v>43</v>
      </c>
      <c r="E600" s="12" t="s">
        <v>11</v>
      </c>
      <c r="F600" s="6">
        <v>45126</v>
      </c>
      <c r="G600" s="9" t="s">
        <v>39</v>
      </c>
      <c r="H600" s="9">
        <f t="shared" si="19"/>
        <v>28</v>
      </c>
      <c r="I600" s="9" t="s">
        <v>38</v>
      </c>
      <c r="J600" s="9" t="s">
        <v>36</v>
      </c>
      <c r="K600" s="19" t="s">
        <v>21</v>
      </c>
      <c r="L600" s="22">
        <v>2.9510000000000001</v>
      </c>
      <c r="M600" s="22">
        <v>2.234</v>
      </c>
      <c r="N600" t="s">
        <v>16</v>
      </c>
      <c r="O600" t="s">
        <v>113</v>
      </c>
    </row>
    <row r="601" spans="1:15" ht="16" x14ac:dyDescent="0.4">
      <c r="A601">
        <v>31</v>
      </c>
      <c r="B601" t="str">
        <f t="shared" si="18"/>
        <v>2023-08-16_0044</v>
      </c>
      <c r="C601" s="8">
        <v>45154</v>
      </c>
      <c r="D601" s="11">
        <v>44</v>
      </c>
      <c r="E601" s="12" t="s">
        <v>11</v>
      </c>
      <c r="F601" s="6">
        <v>45138</v>
      </c>
      <c r="G601" s="9" t="s">
        <v>36</v>
      </c>
      <c r="H601" s="9">
        <f t="shared" si="19"/>
        <v>16</v>
      </c>
      <c r="I601" s="9" t="s">
        <v>37</v>
      </c>
      <c r="J601" s="9" t="s">
        <v>36</v>
      </c>
      <c r="K601" s="19">
        <v>38.619999999999997</v>
      </c>
      <c r="L601" s="22">
        <v>2.2330000000000001</v>
      </c>
      <c r="M601" s="22">
        <v>1.804</v>
      </c>
      <c r="N601" t="s">
        <v>14</v>
      </c>
      <c r="O601" t="s">
        <v>55</v>
      </c>
    </row>
    <row r="602" spans="1:15" x14ac:dyDescent="0.35">
      <c r="A602">
        <v>32</v>
      </c>
      <c r="B602" t="str">
        <f t="shared" si="18"/>
        <v>2023-08-16_0045</v>
      </c>
      <c r="C602" s="8">
        <v>45154</v>
      </c>
      <c r="D602" s="11">
        <v>45</v>
      </c>
      <c r="E602" s="12" t="s">
        <v>11</v>
      </c>
      <c r="F602" s="6" t="s">
        <v>21</v>
      </c>
      <c r="G602" s="9" t="s">
        <v>21</v>
      </c>
      <c r="H602" s="9" t="str">
        <f t="shared" si="19"/>
        <v>NA</v>
      </c>
      <c r="I602" s="9" t="s">
        <v>18</v>
      </c>
      <c r="J602" s="9" t="s">
        <v>39</v>
      </c>
      <c r="K602" s="19" t="s">
        <v>21</v>
      </c>
      <c r="L602" s="23">
        <v>2.3450000000000002</v>
      </c>
      <c r="M602" s="23">
        <v>1.806</v>
      </c>
      <c r="N602" t="s">
        <v>16</v>
      </c>
      <c r="O602" t="s">
        <v>114</v>
      </c>
    </row>
    <row r="603" spans="1:15" x14ac:dyDescent="0.35">
      <c r="A603">
        <v>32</v>
      </c>
      <c r="B603" t="str">
        <f t="shared" si="18"/>
        <v>2023-08-16_0046</v>
      </c>
      <c r="C603" s="8">
        <v>45154</v>
      </c>
      <c r="D603" s="11">
        <v>46</v>
      </c>
      <c r="E603" s="12" t="s">
        <v>11</v>
      </c>
      <c r="F603" s="6">
        <v>45125</v>
      </c>
      <c r="G603" s="9" t="s">
        <v>39</v>
      </c>
      <c r="H603" s="9">
        <f t="shared" si="19"/>
        <v>29</v>
      </c>
      <c r="I603" s="9" t="s">
        <v>12</v>
      </c>
      <c r="J603" s="9" t="s">
        <v>39</v>
      </c>
      <c r="K603" s="19" t="s">
        <v>21</v>
      </c>
      <c r="L603" s="23">
        <v>2.33</v>
      </c>
      <c r="M603" s="23">
        <v>1.9590000000000001</v>
      </c>
      <c r="N603" t="s">
        <v>16</v>
      </c>
      <c r="O603" t="s">
        <v>67</v>
      </c>
    </row>
    <row r="604" spans="1:15" x14ac:dyDescent="0.35">
      <c r="A604">
        <v>32</v>
      </c>
      <c r="B604" t="str">
        <f t="shared" si="18"/>
        <v>2023-08-16_0047</v>
      </c>
      <c r="C604" s="8">
        <v>45154</v>
      </c>
      <c r="D604" s="11">
        <v>47</v>
      </c>
      <c r="E604" s="12" t="s">
        <v>11</v>
      </c>
      <c r="F604" s="6">
        <v>45123</v>
      </c>
      <c r="G604" s="9" t="s">
        <v>36</v>
      </c>
      <c r="H604" s="9">
        <f t="shared" si="19"/>
        <v>31</v>
      </c>
      <c r="I604" s="9" t="s">
        <v>12</v>
      </c>
      <c r="J604" s="9" t="s">
        <v>36</v>
      </c>
      <c r="K604" s="19" t="s">
        <v>21</v>
      </c>
      <c r="L604" s="23">
        <v>2.3199999999999998</v>
      </c>
      <c r="M604" s="23">
        <v>1.863</v>
      </c>
      <c r="N604" t="s">
        <v>16</v>
      </c>
      <c r="O604" t="s">
        <v>48</v>
      </c>
    </row>
    <row r="605" spans="1:15" x14ac:dyDescent="0.35">
      <c r="A605">
        <v>32</v>
      </c>
      <c r="B605" t="str">
        <f t="shared" si="18"/>
        <v>2023-08-16_0048</v>
      </c>
      <c r="C605" s="8">
        <v>45154</v>
      </c>
      <c r="D605" s="11">
        <v>48</v>
      </c>
      <c r="E605" s="12" t="s">
        <v>11</v>
      </c>
      <c r="F605" s="6">
        <v>45123</v>
      </c>
      <c r="G605" s="9" t="s">
        <v>39</v>
      </c>
      <c r="H605" s="9">
        <f t="shared" si="19"/>
        <v>31</v>
      </c>
      <c r="I605" s="9" t="s">
        <v>12</v>
      </c>
      <c r="J605" s="9" t="s">
        <v>36</v>
      </c>
      <c r="K605" s="19" t="s">
        <v>21</v>
      </c>
      <c r="L605" s="23">
        <v>2.323</v>
      </c>
      <c r="M605" s="23">
        <v>1.8660000000000001</v>
      </c>
      <c r="N605" t="s">
        <v>16</v>
      </c>
      <c r="O605" t="s">
        <v>50</v>
      </c>
    </row>
    <row r="606" spans="1:15" x14ac:dyDescent="0.35">
      <c r="A606">
        <v>32</v>
      </c>
      <c r="B606" t="str">
        <f t="shared" si="18"/>
        <v>2023-08-16_0049</v>
      </c>
      <c r="C606" s="8">
        <v>45154</v>
      </c>
      <c r="D606" s="11">
        <v>49</v>
      </c>
      <c r="E606" s="12" t="s">
        <v>11</v>
      </c>
      <c r="F606" s="6">
        <v>45127</v>
      </c>
      <c r="G606" s="9" t="s">
        <v>39</v>
      </c>
      <c r="H606" s="9">
        <f t="shared" si="19"/>
        <v>27</v>
      </c>
      <c r="I606" s="9" t="s">
        <v>12</v>
      </c>
      <c r="J606" s="9" t="s">
        <v>39</v>
      </c>
      <c r="K606" s="19" t="s">
        <v>21</v>
      </c>
      <c r="L606" s="23">
        <v>2.3140000000000001</v>
      </c>
      <c r="M606" s="23">
        <v>1.8580000000000001</v>
      </c>
      <c r="N606" t="s">
        <v>16</v>
      </c>
      <c r="O606" t="s">
        <v>115</v>
      </c>
    </row>
    <row r="607" spans="1:15" x14ac:dyDescent="0.35">
      <c r="A607">
        <v>32</v>
      </c>
      <c r="B607" t="str">
        <f t="shared" si="18"/>
        <v>2023-08-16_0050</v>
      </c>
      <c r="C607" s="8">
        <v>45154</v>
      </c>
      <c r="D607" s="11">
        <v>50</v>
      </c>
      <c r="E607" s="12" t="s">
        <v>11</v>
      </c>
      <c r="F607" s="6">
        <v>45127</v>
      </c>
      <c r="G607" s="9" t="s">
        <v>39</v>
      </c>
      <c r="H607" s="9">
        <f t="shared" si="19"/>
        <v>27</v>
      </c>
      <c r="I607" s="9" t="s">
        <v>37</v>
      </c>
      <c r="J607" s="9" t="s">
        <v>36</v>
      </c>
      <c r="K607" s="19" t="s">
        <v>21</v>
      </c>
      <c r="L607" s="23">
        <v>2.2690000000000001</v>
      </c>
      <c r="M607" s="23">
        <v>1.744</v>
      </c>
      <c r="N607" t="s">
        <v>16</v>
      </c>
      <c r="O607" t="s">
        <v>50</v>
      </c>
    </row>
    <row r="608" spans="1:15" x14ac:dyDescent="0.35">
      <c r="A608">
        <v>32</v>
      </c>
      <c r="B608" t="str">
        <f t="shared" si="18"/>
        <v>2023-08-16_0051</v>
      </c>
      <c r="C608" s="8">
        <v>45154</v>
      </c>
      <c r="D608" s="11">
        <v>51</v>
      </c>
      <c r="E608" s="12" t="s">
        <v>11</v>
      </c>
      <c r="F608" s="6">
        <v>45122</v>
      </c>
      <c r="G608" s="9" t="s">
        <v>39</v>
      </c>
      <c r="H608" s="9">
        <f t="shared" si="19"/>
        <v>32</v>
      </c>
      <c r="I608" s="9" t="s">
        <v>12</v>
      </c>
      <c r="J608" s="9" t="s">
        <v>39</v>
      </c>
      <c r="K608" s="19" t="s">
        <v>21</v>
      </c>
      <c r="L608" s="23">
        <v>2.355</v>
      </c>
      <c r="M608" s="23">
        <v>1.8029999999999999</v>
      </c>
      <c r="N608" t="s">
        <v>16</v>
      </c>
      <c r="O608" t="s">
        <v>67</v>
      </c>
    </row>
    <row r="609" spans="1:15" x14ac:dyDescent="0.35">
      <c r="A609">
        <v>32</v>
      </c>
      <c r="B609" t="str">
        <f t="shared" si="18"/>
        <v>2023-08-16_0052</v>
      </c>
      <c r="C609" s="8">
        <v>45154</v>
      </c>
      <c r="D609" s="11">
        <v>52</v>
      </c>
      <c r="E609" s="12" t="s">
        <v>11</v>
      </c>
      <c r="F609" s="6">
        <v>45122</v>
      </c>
      <c r="G609" s="9" t="s">
        <v>39</v>
      </c>
      <c r="H609" s="9">
        <f t="shared" si="19"/>
        <v>32</v>
      </c>
      <c r="I609" s="9" t="s">
        <v>12</v>
      </c>
      <c r="J609" s="9" t="s">
        <v>39</v>
      </c>
      <c r="K609" s="19" t="s">
        <v>21</v>
      </c>
      <c r="L609" s="23">
        <v>2.5110000000000001</v>
      </c>
      <c r="M609" s="23">
        <v>1.956</v>
      </c>
      <c r="N609" t="s">
        <v>16</v>
      </c>
      <c r="O609" t="s">
        <v>67</v>
      </c>
    </row>
    <row r="610" spans="1:15" x14ac:dyDescent="0.35">
      <c r="A610">
        <v>32</v>
      </c>
      <c r="B610" t="str">
        <f t="shared" si="18"/>
        <v>2023-08-16_0053</v>
      </c>
      <c r="C610" s="8">
        <v>45154</v>
      </c>
      <c r="D610" s="11">
        <v>53</v>
      </c>
      <c r="E610" s="12" t="s">
        <v>11</v>
      </c>
      <c r="F610" s="6" t="s">
        <v>21</v>
      </c>
      <c r="G610" s="9" t="s">
        <v>21</v>
      </c>
      <c r="H610" s="9" t="str">
        <f t="shared" si="19"/>
        <v>NA</v>
      </c>
      <c r="I610" s="9" t="s">
        <v>12</v>
      </c>
      <c r="J610" s="9" t="s">
        <v>39</v>
      </c>
      <c r="K610" s="19" t="s">
        <v>21</v>
      </c>
      <c r="L610" s="23">
        <v>2.2970000000000002</v>
      </c>
      <c r="M610" s="23">
        <v>2.02</v>
      </c>
      <c r="N610" t="s">
        <v>16</v>
      </c>
      <c r="O610" t="s">
        <v>114</v>
      </c>
    </row>
    <row r="611" spans="1:15" x14ac:dyDescent="0.35">
      <c r="A611">
        <v>32</v>
      </c>
      <c r="B611" t="str">
        <f t="shared" si="18"/>
        <v>2023-08-16_0054</v>
      </c>
      <c r="C611" s="8">
        <v>45154</v>
      </c>
      <c r="D611" s="11">
        <v>54</v>
      </c>
      <c r="E611" s="12" t="s">
        <v>11</v>
      </c>
      <c r="F611" s="6">
        <v>45115</v>
      </c>
      <c r="G611" s="9" t="s">
        <v>39</v>
      </c>
      <c r="H611" s="9">
        <f t="shared" si="19"/>
        <v>39</v>
      </c>
      <c r="I611" s="9" t="s">
        <v>12</v>
      </c>
      <c r="J611" s="9" t="s">
        <v>39</v>
      </c>
      <c r="K611" s="19" t="s">
        <v>21</v>
      </c>
      <c r="L611" s="23">
        <v>2.4550000000000001</v>
      </c>
      <c r="M611" s="23">
        <v>1.889</v>
      </c>
      <c r="N611" t="s">
        <v>16</v>
      </c>
      <c r="O611" t="s">
        <v>67</v>
      </c>
    </row>
    <row r="612" spans="1:15" x14ac:dyDescent="0.35">
      <c r="A612">
        <v>32</v>
      </c>
      <c r="B612" t="str">
        <f t="shared" si="18"/>
        <v>2023-08-16_0055</v>
      </c>
      <c r="C612" s="8">
        <v>45154</v>
      </c>
      <c r="D612" s="11">
        <v>55</v>
      </c>
      <c r="E612" s="12" t="s">
        <v>15</v>
      </c>
      <c r="F612" s="6">
        <v>45127</v>
      </c>
      <c r="G612" s="9" t="s">
        <v>36</v>
      </c>
      <c r="H612" s="9">
        <f t="shared" si="19"/>
        <v>27</v>
      </c>
      <c r="I612" s="9" t="s">
        <v>12</v>
      </c>
      <c r="J612" s="9" t="s">
        <v>36</v>
      </c>
      <c r="K612" s="19" t="s">
        <v>21</v>
      </c>
      <c r="L612" s="23">
        <v>2.44</v>
      </c>
      <c r="M612" s="23">
        <v>1.907</v>
      </c>
      <c r="N612" t="s">
        <v>16</v>
      </c>
      <c r="O612" t="s">
        <v>48</v>
      </c>
    </row>
    <row r="613" spans="1:15" x14ac:dyDescent="0.35">
      <c r="A613">
        <v>32</v>
      </c>
      <c r="B613" t="str">
        <f t="shared" si="18"/>
        <v>2023-08-16_0056</v>
      </c>
      <c r="C613" s="8">
        <v>45154</v>
      </c>
      <c r="D613" s="11">
        <v>56</v>
      </c>
      <c r="E613" s="12" t="s">
        <v>15</v>
      </c>
      <c r="F613" s="6" t="s">
        <v>21</v>
      </c>
      <c r="G613" s="9" t="s">
        <v>21</v>
      </c>
      <c r="H613" s="9" t="str">
        <f t="shared" si="19"/>
        <v>NA</v>
      </c>
      <c r="I613" s="9" t="s">
        <v>38</v>
      </c>
      <c r="J613" s="9" t="s">
        <v>36</v>
      </c>
      <c r="K613" s="19" t="s">
        <v>21</v>
      </c>
      <c r="L613" s="23">
        <v>2.427</v>
      </c>
      <c r="M613" s="23">
        <v>1.948</v>
      </c>
      <c r="N613" t="s">
        <v>16</v>
      </c>
      <c r="O613" t="s">
        <v>58</v>
      </c>
    </row>
    <row r="614" spans="1:15" x14ac:dyDescent="0.35">
      <c r="A614">
        <v>32</v>
      </c>
      <c r="B614" t="str">
        <f t="shared" si="18"/>
        <v>2023-08-16_0057</v>
      </c>
      <c r="C614" s="8">
        <v>45154</v>
      </c>
      <c r="D614" s="11">
        <v>57</v>
      </c>
      <c r="E614" s="12" t="s">
        <v>11</v>
      </c>
      <c r="F614" s="6">
        <v>45123</v>
      </c>
      <c r="G614" s="9" t="s">
        <v>39</v>
      </c>
      <c r="H614" s="9">
        <f t="shared" si="19"/>
        <v>31</v>
      </c>
      <c r="I614" s="9" t="s">
        <v>38</v>
      </c>
      <c r="J614" s="9" t="s">
        <v>36</v>
      </c>
      <c r="K614" s="19" t="s">
        <v>21</v>
      </c>
      <c r="L614" s="23">
        <v>2.3460000000000001</v>
      </c>
      <c r="M614" s="23">
        <v>1.9390000000000001</v>
      </c>
      <c r="N614" t="s">
        <v>16</v>
      </c>
      <c r="O614" t="s">
        <v>50</v>
      </c>
    </row>
    <row r="615" spans="1:15" ht="16" x14ac:dyDescent="0.4">
      <c r="A615">
        <v>8</v>
      </c>
      <c r="B615" t="str">
        <f t="shared" si="18"/>
        <v>2023-08-14_0001</v>
      </c>
      <c r="C615" s="8">
        <v>45152</v>
      </c>
      <c r="D615" s="11">
        <v>1</v>
      </c>
      <c r="E615" s="12" t="s">
        <v>11</v>
      </c>
      <c r="F615" s="6">
        <v>45120</v>
      </c>
      <c r="G615" s="9" t="s">
        <v>36</v>
      </c>
      <c r="H615" s="10">
        <f t="shared" si="19"/>
        <v>32</v>
      </c>
      <c r="I615" s="9" t="s">
        <v>17</v>
      </c>
      <c r="J615" s="9" t="s">
        <v>36</v>
      </c>
      <c r="K615" s="19">
        <v>44.792999999999999</v>
      </c>
      <c r="L615" s="22">
        <v>2.488</v>
      </c>
      <c r="M615" s="22">
        <v>2.0049999999999999</v>
      </c>
      <c r="N615" t="s">
        <v>14</v>
      </c>
    </row>
    <row r="616" spans="1:15" ht="16" x14ac:dyDescent="0.4">
      <c r="A616">
        <v>8</v>
      </c>
      <c r="B616" t="str">
        <f t="shared" si="18"/>
        <v>2023-08-14_0002</v>
      </c>
      <c r="C616" s="8">
        <v>45152</v>
      </c>
      <c r="D616" s="11">
        <v>2</v>
      </c>
      <c r="E616" s="12" t="s">
        <v>15</v>
      </c>
      <c r="F616" s="6">
        <v>45135</v>
      </c>
      <c r="G616" s="9" t="s">
        <v>36</v>
      </c>
      <c r="H616" s="10">
        <f t="shared" si="19"/>
        <v>17</v>
      </c>
      <c r="I616" s="9" t="s">
        <v>17</v>
      </c>
      <c r="J616" s="9" t="s">
        <v>36</v>
      </c>
      <c r="K616" s="19">
        <v>44.372</v>
      </c>
      <c r="L616" s="22">
        <v>2.3839999999999999</v>
      </c>
      <c r="M616" s="22">
        <v>1.8839999999999999</v>
      </c>
      <c r="N616" t="s">
        <v>14</v>
      </c>
    </row>
    <row r="617" spans="1:15" ht="16" x14ac:dyDescent="0.4">
      <c r="A617">
        <v>8</v>
      </c>
      <c r="B617" t="str">
        <f t="shared" si="18"/>
        <v>2023-08-14_0003</v>
      </c>
      <c r="C617" s="8">
        <v>45152</v>
      </c>
      <c r="D617" s="11">
        <v>3</v>
      </c>
      <c r="E617" s="12" t="s">
        <v>11</v>
      </c>
      <c r="F617" s="6">
        <v>45143</v>
      </c>
      <c r="G617" s="9" t="s">
        <v>36</v>
      </c>
      <c r="H617" s="10">
        <f t="shared" si="19"/>
        <v>9</v>
      </c>
      <c r="I617" s="9" t="s">
        <v>17</v>
      </c>
      <c r="J617" s="9" t="s">
        <v>36</v>
      </c>
      <c r="K617" s="19">
        <v>46.866999999999997</v>
      </c>
      <c r="L617" s="22">
        <v>2.6480000000000001</v>
      </c>
      <c r="M617" s="22">
        <v>2.0070000000000001</v>
      </c>
      <c r="N617" t="s">
        <v>14</v>
      </c>
    </row>
    <row r="618" spans="1:15" ht="16" x14ac:dyDescent="0.4">
      <c r="A618">
        <v>8</v>
      </c>
      <c r="B618" t="str">
        <f t="shared" si="18"/>
        <v>2023-08-14_0004</v>
      </c>
      <c r="C618" s="8">
        <v>45152</v>
      </c>
      <c r="D618" s="11">
        <v>4</v>
      </c>
      <c r="E618" s="12" t="s">
        <v>15</v>
      </c>
      <c r="F618" s="6">
        <v>45123</v>
      </c>
      <c r="G618" s="9" t="s">
        <v>36</v>
      </c>
      <c r="H618" s="10">
        <f t="shared" si="19"/>
        <v>29</v>
      </c>
      <c r="I618" s="9" t="s">
        <v>12</v>
      </c>
      <c r="J618" s="9" t="s">
        <v>36</v>
      </c>
      <c r="K618" s="19">
        <v>46.375</v>
      </c>
      <c r="L618" s="22">
        <v>2.59</v>
      </c>
      <c r="M618" s="22">
        <v>1.9910000000000001</v>
      </c>
      <c r="N618" t="s">
        <v>14</v>
      </c>
    </row>
    <row r="619" spans="1:15" ht="16" x14ac:dyDescent="0.4">
      <c r="A619">
        <v>8</v>
      </c>
      <c r="B619" t="str">
        <f t="shared" si="18"/>
        <v>2023-08-14_0005</v>
      </c>
      <c r="C619" s="8">
        <v>45152</v>
      </c>
      <c r="D619" s="11">
        <v>5</v>
      </c>
      <c r="E619" s="12" t="s">
        <v>11</v>
      </c>
      <c r="F619" s="6">
        <v>45141</v>
      </c>
      <c r="G619" s="9" t="s">
        <v>36</v>
      </c>
      <c r="H619" s="10">
        <f t="shared" si="19"/>
        <v>11</v>
      </c>
      <c r="I619" s="9" t="s">
        <v>18</v>
      </c>
      <c r="J619" s="9" t="s">
        <v>36</v>
      </c>
      <c r="K619" s="19">
        <v>46.100999999999999</v>
      </c>
      <c r="L619" s="22">
        <v>2.5019999999999998</v>
      </c>
      <c r="M619" s="22">
        <v>1.968</v>
      </c>
      <c r="N619" t="s">
        <v>14</v>
      </c>
    </row>
    <row r="620" spans="1:15" ht="16" x14ac:dyDescent="0.4">
      <c r="A620">
        <v>8</v>
      </c>
      <c r="B620" t="str">
        <f t="shared" si="18"/>
        <v>2023-08-14_0006</v>
      </c>
      <c r="C620" s="8">
        <v>45152</v>
      </c>
      <c r="D620" s="11">
        <v>6</v>
      </c>
      <c r="E620" s="12" t="s">
        <v>11</v>
      </c>
      <c r="F620" s="6">
        <v>45108</v>
      </c>
      <c r="G620" s="9" t="s">
        <v>36</v>
      </c>
      <c r="H620" s="10">
        <f t="shared" si="19"/>
        <v>44</v>
      </c>
      <c r="I620" s="9" t="s">
        <v>17</v>
      </c>
      <c r="J620" s="9" t="s">
        <v>36</v>
      </c>
      <c r="K620" s="19">
        <v>44.396000000000001</v>
      </c>
      <c r="L620" s="22">
        <v>2.347</v>
      </c>
      <c r="M620" s="22">
        <v>2.052</v>
      </c>
      <c r="N620" t="s">
        <v>14</v>
      </c>
      <c r="O620" t="s">
        <v>55</v>
      </c>
    </row>
    <row r="621" spans="1:15" ht="16" x14ac:dyDescent="0.4">
      <c r="A621">
        <v>8</v>
      </c>
      <c r="B621" t="str">
        <f t="shared" si="18"/>
        <v>2023-08-14_0007</v>
      </c>
      <c r="C621" s="8">
        <v>45152</v>
      </c>
      <c r="D621" s="11">
        <v>7</v>
      </c>
      <c r="E621" s="12" t="s">
        <v>15</v>
      </c>
      <c r="F621" s="6">
        <v>45126</v>
      </c>
      <c r="G621" s="9" t="s">
        <v>39</v>
      </c>
      <c r="H621" s="10">
        <f t="shared" si="19"/>
        <v>26</v>
      </c>
      <c r="I621" s="9" t="s">
        <v>18</v>
      </c>
      <c r="J621" s="9" t="s">
        <v>39</v>
      </c>
      <c r="K621" s="19">
        <v>43.228000000000002</v>
      </c>
      <c r="L621" s="22">
        <v>2.274</v>
      </c>
      <c r="M621" s="22">
        <v>1.962</v>
      </c>
      <c r="N621" t="s">
        <v>14</v>
      </c>
      <c r="O621" t="s">
        <v>116</v>
      </c>
    </row>
    <row r="622" spans="1:15" ht="16" x14ac:dyDescent="0.4">
      <c r="A622">
        <v>8</v>
      </c>
      <c r="B622" t="str">
        <f t="shared" si="18"/>
        <v>2023-08-14_0008</v>
      </c>
      <c r="C622" s="8">
        <v>45152</v>
      </c>
      <c r="D622" s="11">
        <v>8</v>
      </c>
      <c r="E622" s="12" t="s">
        <v>15</v>
      </c>
      <c r="F622" s="6">
        <v>45129</v>
      </c>
      <c r="G622" s="9" t="s">
        <v>36</v>
      </c>
      <c r="H622" s="10">
        <f t="shared" si="19"/>
        <v>23</v>
      </c>
      <c r="I622" s="9" t="s">
        <v>17</v>
      </c>
      <c r="J622" s="9" t="s">
        <v>36</v>
      </c>
      <c r="K622" s="19">
        <v>45.12</v>
      </c>
      <c r="L622" s="22">
        <v>2.4159999999999999</v>
      </c>
      <c r="M622" s="22">
        <v>1.98</v>
      </c>
      <c r="N622" t="s">
        <v>14</v>
      </c>
    </row>
    <row r="623" spans="1:15" ht="16" x14ac:dyDescent="0.4">
      <c r="A623">
        <v>8</v>
      </c>
      <c r="B623" t="str">
        <f t="shared" si="18"/>
        <v>2023-08-14_0009</v>
      </c>
      <c r="C623" s="8">
        <v>45152</v>
      </c>
      <c r="D623" s="11">
        <v>9</v>
      </c>
      <c r="E623" s="12" t="s">
        <v>11</v>
      </c>
      <c r="F623" s="6">
        <v>45126</v>
      </c>
      <c r="G623" s="9" t="s">
        <v>36</v>
      </c>
      <c r="H623" s="10">
        <f t="shared" si="19"/>
        <v>26</v>
      </c>
      <c r="I623" s="9" t="s">
        <v>37</v>
      </c>
      <c r="J623" s="9" t="s">
        <v>36</v>
      </c>
      <c r="K623" s="19">
        <v>44.674999999999997</v>
      </c>
      <c r="L623" s="22">
        <v>2.2480000000000002</v>
      </c>
      <c r="M623" s="22">
        <v>1.9419999999999999</v>
      </c>
      <c r="N623" t="s">
        <v>14</v>
      </c>
    </row>
    <row r="624" spans="1:15" ht="16" x14ac:dyDescent="0.4">
      <c r="A624">
        <v>8</v>
      </c>
      <c r="B624" t="str">
        <f t="shared" si="18"/>
        <v>2023-08-14_0010</v>
      </c>
      <c r="C624" s="8">
        <v>45152</v>
      </c>
      <c r="D624" s="11">
        <v>10</v>
      </c>
      <c r="E624" s="12" t="s">
        <v>15</v>
      </c>
      <c r="F624" s="6">
        <v>45126</v>
      </c>
      <c r="G624" s="9" t="s">
        <v>36</v>
      </c>
      <c r="H624" s="10">
        <f t="shared" si="19"/>
        <v>26</v>
      </c>
      <c r="I624" s="9" t="s">
        <v>37</v>
      </c>
      <c r="J624" s="9" t="s">
        <v>36</v>
      </c>
      <c r="K624" s="19">
        <v>43.988</v>
      </c>
      <c r="L624" s="22">
        <v>2.2829999999999999</v>
      </c>
      <c r="M624" s="22">
        <v>1.956</v>
      </c>
      <c r="N624" t="s">
        <v>14</v>
      </c>
    </row>
    <row r="625" spans="1:15" ht="16" x14ac:dyDescent="0.4">
      <c r="A625">
        <v>8</v>
      </c>
      <c r="B625" t="str">
        <f t="shared" si="18"/>
        <v>2023-08-14_0011</v>
      </c>
      <c r="C625" s="8">
        <v>45152</v>
      </c>
      <c r="D625" s="11">
        <v>11</v>
      </c>
      <c r="E625" s="12" t="s">
        <v>15</v>
      </c>
      <c r="F625" s="6">
        <v>45129</v>
      </c>
      <c r="G625" s="9" t="s">
        <v>36</v>
      </c>
      <c r="H625" s="10">
        <f t="shared" si="19"/>
        <v>23</v>
      </c>
      <c r="I625" s="9" t="s">
        <v>37</v>
      </c>
      <c r="J625" s="9" t="s">
        <v>36</v>
      </c>
      <c r="K625" s="19">
        <v>40.35</v>
      </c>
      <c r="L625" s="22">
        <v>2.258</v>
      </c>
      <c r="M625" s="22">
        <v>1.9630000000000001</v>
      </c>
      <c r="N625" t="s">
        <v>14</v>
      </c>
    </row>
    <row r="626" spans="1:15" ht="16" x14ac:dyDescent="0.4">
      <c r="A626">
        <v>8</v>
      </c>
      <c r="B626" t="str">
        <f t="shared" si="18"/>
        <v>2023-08-14_0012</v>
      </c>
      <c r="C626" s="8">
        <v>45152</v>
      </c>
      <c r="D626" s="11">
        <v>12</v>
      </c>
      <c r="E626" s="12" t="s">
        <v>15</v>
      </c>
      <c r="F626" s="6">
        <v>45126</v>
      </c>
      <c r="G626" s="9" t="s">
        <v>39</v>
      </c>
      <c r="H626" s="10">
        <f t="shared" si="19"/>
        <v>26</v>
      </c>
      <c r="I626" s="9" t="s">
        <v>37</v>
      </c>
      <c r="J626" s="9" t="s">
        <v>36</v>
      </c>
      <c r="K626" s="19">
        <v>41.396000000000001</v>
      </c>
      <c r="L626" s="22">
        <v>2.0179999999999998</v>
      </c>
      <c r="M626" s="22">
        <v>1.835</v>
      </c>
      <c r="N626" t="s">
        <v>14</v>
      </c>
      <c r="O626" t="s">
        <v>117</v>
      </c>
    </row>
    <row r="627" spans="1:15" ht="16" x14ac:dyDescent="0.4">
      <c r="A627">
        <v>8</v>
      </c>
      <c r="B627" t="str">
        <f t="shared" si="18"/>
        <v>2023-08-14_0013</v>
      </c>
      <c r="C627" s="8">
        <v>45152</v>
      </c>
      <c r="D627" s="11">
        <v>13</v>
      </c>
      <c r="E627" s="12" t="s">
        <v>15</v>
      </c>
      <c r="F627" s="6">
        <v>45122</v>
      </c>
      <c r="G627" s="9" t="s">
        <v>36</v>
      </c>
      <c r="H627" s="10">
        <f t="shared" si="19"/>
        <v>30</v>
      </c>
      <c r="I627" s="9" t="s">
        <v>12</v>
      </c>
      <c r="J627" s="9" t="s">
        <v>36</v>
      </c>
      <c r="K627" s="19">
        <v>43.790999999999997</v>
      </c>
      <c r="L627" s="22">
        <v>2.3650000000000002</v>
      </c>
      <c r="M627" s="22">
        <v>1.8540000000000001</v>
      </c>
      <c r="N627" t="s">
        <v>14</v>
      </c>
    </row>
    <row r="628" spans="1:15" ht="16" x14ac:dyDescent="0.4">
      <c r="A628">
        <v>8</v>
      </c>
      <c r="B628" t="str">
        <f t="shared" si="18"/>
        <v>2023-08-14_0014</v>
      </c>
      <c r="C628" s="8">
        <v>45152</v>
      </c>
      <c r="D628" s="11">
        <v>14</v>
      </c>
      <c r="E628" s="12" t="s">
        <v>11</v>
      </c>
      <c r="F628" s="6">
        <v>45123</v>
      </c>
      <c r="G628" s="9" t="s">
        <v>36</v>
      </c>
      <c r="H628" s="10">
        <f t="shared" si="19"/>
        <v>29</v>
      </c>
      <c r="I628" s="9" t="s">
        <v>37</v>
      </c>
      <c r="J628" s="9" t="s">
        <v>36</v>
      </c>
      <c r="K628" s="19">
        <v>48.482999999999997</v>
      </c>
      <c r="L628" s="22">
        <v>2.6240000000000001</v>
      </c>
      <c r="M628" s="22">
        <v>2.0870000000000002</v>
      </c>
      <c r="N628" t="s">
        <v>14</v>
      </c>
    </row>
    <row r="629" spans="1:15" ht="16" x14ac:dyDescent="0.4">
      <c r="A629">
        <v>8</v>
      </c>
      <c r="B629" t="str">
        <f t="shared" si="18"/>
        <v>2023-08-14_0015</v>
      </c>
      <c r="C629" s="8">
        <v>45152</v>
      </c>
      <c r="D629" s="11">
        <v>15</v>
      </c>
      <c r="E629" s="12" t="s">
        <v>15</v>
      </c>
      <c r="F629" s="6">
        <v>45127</v>
      </c>
      <c r="G629" s="9" t="s">
        <v>39</v>
      </c>
      <c r="H629" s="10">
        <f t="shared" si="19"/>
        <v>25</v>
      </c>
      <c r="I629" s="9" t="s">
        <v>37</v>
      </c>
      <c r="J629" s="9" t="s">
        <v>36</v>
      </c>
      <c r="K629" s="19">
        <v>45.360999999999997</v>
      </c>
      <c r="L629" s="22">
        <v>2.331</v>
      </c>
      <c r="M629" s="22">
        <v>1.895</v>
      </c>
      <c r="N629" t="s">
        <v>14</v>
      </c>
      <c r="O629" t="s">
        <v>117</v>
      </c>
    </row>
    <row r="630" spans="1:15" ht="16" x14ac:dyDescent="0.4">
      <c r="A630">
        <v>8</v>
      </c>
      <c r="B630" t="str">
        <f t="shared" si="18"/>
        <v>2023-08-14_0016</v>
      </c>
      <c r="C630" s="8">
        <v>45152</v>
      </c>
      <c r="D630" s="11">
        <v>16</v>
      </c>
      <c r="E630" s="12" t="s">
        <v>11</v>
      </c>
      <c r="F630" s="6">
        <v>45128</v>
      </c>
      <c r="G630" s="9" t="s">
        <v>36</v>
      </c>
      <c r="H630" s="10">
        <f t="shared" si="19"/>
        <v>24</v>
      </c>
      <c r="I630" s="9" t="s">
        <v>17</v>
      </c>
      <c r="J630" s="9" t="s">
        <v>36</v>
      </c>
      <c r="K630" s="19" t="s">
        <v>21</v>
      </c>
      <c r="L630" s="22">
        <v>2.427</v>
      </c>
      <c r="M630" s="22">
        <v>2.0870000000000002</v>
      </c>
      <c r="N630" t="s">
        <v>16</v>
      </c>
      <c r="O630" t="s">
        <v>87</v>
      </c>
    </row>
    <row r="631" spans="1:15" ht="16" x14ac:dyDescent="0.4">
      <c r="A631">
        <v>8</v>
      </c>
      <c r="B631" t="str">
        <f t="shared" si="18"/>
        <v>2023-08-14_0017</v>
      </c>
      <c r="C631" s="8">
        <v>45152</v>
      </c>
      <c r="D631" s="11">
        <v>17</v>
      </c>
      <c r="E631" s="12" t="s">
        <v>15</v>
      </c>
      <c r="F631" s="6">
        <v>45113</v>
      </c>
      <c r="G631" s="9" t="s">
        <v>39</v>
      </c>
      <c r="H631" s="10">
        <f t="shared" si="19"/>
        <v>39</v>
      </c>
      <c r="I631" s="9" t="s">
        <v>37</v>
      </c>
      <c r="J631" s="9" t="s">
        <v>36</v>
      </c>
      <c r="K631" s="19">
        <v>46.247999999999998</v>
      </c>
      <c r="L631" s="22">
        <v>2.4500000000000002</v>
      </c>
      <c r="M631" s="22">
        <v>2.0070000000000001</v>
      </c>
      <c r="N631" t="s">
        <v>14</v>
      </c>
      <c r="O631" t="s">
        <v>117</v>
      </c>
    </row>
    <row r="632" spans="1:15" ht="16" x14ac:dyDescent="0.4">
      <c r="A632">
        <v>8</v>
      </c>
      <c r="B632" t="str">
        <f t="shared" si="18"/>
        <v>2023-08-14_0018</v>
      </c>
      <c r="C632" s="8">
        <v>45152</v>
      </c>
      <c r="D632" s="11">
        <v>18</v>
      </c>
      <c r="E632" s="12" t="s">
        <v>15</v>
      </c>
      <c r="F632" s="6">
        <v>45128</v>
      </c>
      <c r="G632" s="9" t="s">
        <v>36</v>
      </c>
      <c r="H632" s="10">
        <f t="shared" si="19"/>
        <v>24</v>
      </c>
      <c r="I632" s="9" t="s">
        <v>18</v>
      </c>
      <c r="J632" s="9" t="s">
        <v>39</v>
      </c>
      <c r="K632" s="19">
        <v>41.56</v>
      </c>
      <c r="L632" s="22">
        <v>2.1339999999999999</v>
      </c>
      <c r="M632" s="22">
        <v>1.887</v>
      </c>
      <c r="N632" t="s">
        <v>14</v>
      </c>
      <c r="O632" t="s">
        <v>118</v>
      </c>
    </row>
    <row r="633" spans="1:15" ht="16" x14ac:dyDescent="0.4">
      <c r="A633">
        <v>8</v>
      </c>
      <c r="B633" t="str">
        <f t="shared" si="18"/>
        <v>2023-08-14_0019</v>
      </c>
      <c r="C633" s="8">
        <v>45152</v>
      </c>
      <c r="D633" s="11">
        <v>19</v>
      </c>
      <c r="E633" s="12" t="s">
        <v>15</v>
      </c>
      <c r="F633" s="6">
        <v>45127</v>
      </c>
      <c r="G633" s="9" t="s">
        <v>36</v>
      </c>
      <c r="H633" s="10">
        <f t="shared" si="19"/>
        <v>25</v>
      </c>
      <c r="I633" s="9" t="s">
        <v>37</v>
      </c>
      <c r="J633" s="9" t="s">
        <v>36</v>
      </c>
      <c r="K633" s="19">
        <v>42.826999999999998</v>
      </c>
      <c r="L633" s="22">
        <v>2.274</v>
      </c>
      <c r="M633" s="22">
        <v>1.954</v>
      </c>
      <c r="N633" t="s">
        <v>14</v>
      </c>
    </row>
    <row r="634" spans="1:15" ht="16" x14ac:dyDescent="0.4">
      <c r="A634">
        <v>8</v>
      </c>
      <c r="B634" t="str">
        <f t="shared" si="18"/>
        <v>2023-08-14_0020</v>
      </c>
      <c r="C634" s="8">
        <v>45152</v>
      </c>
      <c r="D634" s="11">
        <v>20</v>
      </c>
      <c r="E634" s="12" t="s">
        <v>11</v>
      </c>
      <c r="F634" s="6">
        <v>45139</v>
      </c>
      <c r="G634" s="9" t="s">
        <v>36</v>
      </c>
      <c r="H634" s="10">
        <f t="shared" si="19"/>
        <v>13</v>
      </c>
      <c r="I634" s="9" t="s">
        <v>38</v>
      </c>
      <c r="J634" s="9" t="s">
        <v>36</v>
      </c>
      <c r="K634" s="19">
        <v>41.662999999999997</v>
      </c>
      <c r="L634" s="22">
        <v>2.331</v>
      </c>
      <c r="M634" s="22">
        <v>1.8149999999999999</v>
      </c>
      <c r="N634" t="s">
        <v>14</v>
      </c>
      <c r="O634" t="s">
        <v>85</v>
      </c>
    </row>
    <row r="635" spans="1:15" ht="16" x14ac:dyDescent="0.4">
      <c r="A635">
        <v>8</v>
      </c>
      <c r="B635" t="str">
        <f t="shared" si="18"/>
        <v>2023-08-14_0021</v>
      </c>
      <c r="C635" s="8">
        <v>45152</v>
      </c>
      <c r="D635" s="11">
        <v>21</v>
      </c>
      <c r="E635" s="12" t="s">
        <v>15</v>
      </c>
      <c r="F635" s="6">
        <v>45120</v>
      </c>
      <c r="G635" s="9" t="s">
        <v>39</v>
      </c>
      <c r="H635" s="10">
        <f t="shared" si="19"/>
        <v>32</v>
      </c>
      <c r="I635" s="9" t="s">
        <v>38</v>
      </c>
      <c r="J635" s="9" t="s">
        <v>36</v>
      </c>
      <c r="K635" s="19">
        <v>43.703000000000003</v>
      </c>
      <c r="L635" s="22">
        <v>2.2519999999999998</v>
      </c>
      <c r="M635" s="22">
        <v>1.93</v>
      </c>
      <c r="N635" t="s">
        <v>14</v>
      </c>
      <c r="O635" t="s">
        <v>119</v>
      </c>
    </row>
    <row r="636" spans="1:15" ht="16" x14ac:dyDescent="0.4">
      <c r="A636">
        <v>8</v>
      </c>
      <c r="B636" t="str">
        <f t="shared" si="18"/>
        <v>2023-08-14_0022</v>
      </c>
      <c r="C636" s="8">
        <v>45152</v>
      </c>
      <c r="D636" s="11">
        <v>22</v>
      </c>
      <c r="E636" s="12" t="s">
        <v>11</v>
      </c>
      <c r="F636" s="6">
        <v>45141</v>
      </c>
      <c r="G636" s="9" t="s">
        <v>36</v>
      </c>
      <c r="H636" s="10">
        <f t="shared" si="19"/>
        <v>11</v>
      </c>
      <c r="I636" s="9" t="s">
        <v>18</v>
      </c>
      <c r="J636" s="9" t="s">
        <v>36</v>
      </c>
      <c r="K636" s="19">
        <v>40.468000000000004</v>
      </c>
      <c r="L636" s="22">
        <v>2.2919999999999998</v>
      </c>
      <c r="M636" s="22">
        <v>1.7529999999999999</v>
      </c>
      <c r="N636" t="s">
        <v>14</v>
      </c>
      <c r="O636" t="s">
        <v>120</v>
      </c>
    </row>
    <row r="637" spans="1:15" ht="16" x14ac:dyDescent="0.4">
      <c r="A637">
        <v>8</v>
      </c>
      <c r="B637" t="str">
        <f t="shared" si="18"/>
        <v>2023-08-14_0023</v>
      </c>
      <c r="C637" s="8">
        <v>45152</v>
      </c>
      <c r="D637" s="11">
        <v>23</v>
      </c>
      <c r="E637" s="12" t="s">
        <v>15</v>
      </c>
      <c r="F637" s="6">
        <v>45127</v>
      </c>
      <c r="G637" s="9" t="s">
        <v>39</v>
      </c>
      <c r="H637" s="10">
        <f t="shared" si="19"/>
        <v>25</v>
      </c>
      <c r="I637" s="9" t="s">
        <v>12</v>
      </c>
      <c r="J637" s="9" t="s">
        <v>36</v>
      </c>
      <c r="K637" s="19">
        <v>43.7</v>
      </c>
      <c r="L637" s="22">
        <v>2.3380000000000001</v>
      </c>
      <c r="M637" s="22">
        <v>1.9159999999999999</v>
      </c>
      <c r="N637" t="s">
        <v>14</v>
      </c>
      <c r="O637" t="s">
        <v>121</v>
      </c>
    </row>
    <row r="638" spans="1:15" ht="16" x14ac:dyDescent="0.4">
      <c r="A638">
        <v>8</v>
      </c>
      <c r="B638" t="str">
        <f t="shared" si="18"/>
        <v>2023-08-14_0024</v>
      </c>
      <c r="C638" s="8">
        <v>45152</v>
      </c>
      <c r="D638" s="11">
        <v>24</v>
      </c>
      <c r="E638" s="12" t="s">
        <v>15</v>
      </c>
      <c r="F638" s="6">
        <v>45129</v>
      </c>
      <c r="G638" s="9" t="s">
        <v>36</v>
      </c>
      <c r="H638" s="10">
        <f t="shared" si="19"/>
        <v>23</v>
      </c>
      <c r="I638" s="9" t="s">
        <v>12</v>
      </c>
      <c r="J638" s="9" t="s">
        <v>36</v>
      </c>
      <c r="K638" s="19">
        <v>41.091000000000001</v>
      </c>
      <c r="L638" s="22">
        <v>2.222</v>
      </c>
      <c r="M638" s="22">
        <v>1.8120000000000001</v>
      </c>
      <c r="N638" t="s">
        <v>14</v>
      </c>
    </row>
    <row r="639" spans="1:15" ht="16" x14ac:dyDescent="0.4">
      <c r="A639">
        <v>9</v>
      </c>
      <c r="B639" t="str">
        <f t="shared" si="18"/>
        <v>2023-08-14_0025</v>
      </c>
      <c r="C639" s="8">
        <v>45152</v>
      </c>
      <c r="D639" s="11">
        <v>25</v>
      </c>
      <c r="E639" s="12" t="s">
        <v>11</v>
      </c>
      <c r="F639" s="6">
        <v>45122</v>
      </c>
      <c r="G639" s="9" t="s">
        <v>36</v>
      </c>
      <c r="H639" s="10">
        <f t="shared" si="19"/>
        <v>30</v>
      </c>
      <c r="I639" s="9" t="s">
        <v>38</v>
      </c>
      <c r="J639" s="9" t="s">
        <v>36</v>
      </c>
      <c r="K639" s="19" t="s">
        <v>21</v>
      </c>
      <c r="L639" s="22">
        <v>2.581</v>
      </c>
      <c r="M639" s="22">
        <v>2.1080000000000001</v>
      </c>
      <c r="N639" t="s">
        <v>16</v>
      </c>
      <c r="O639" t="s">
        <v>88</v>
      </c>
    </row>
    <row r="640" spans="1:15" ht="16" x14ac:dyDescent="0.4">
      <c r="A640">
        <v>9</v>
      </c>
      <c r="B640" t="str">
        <f t="shared" si="18"/>
        <v>2023-08-14_0026</v>
      </c>
      <c r="C640" s="8">
        <v>45152</v>
      </c>
      <c r="D640" s="11">
        <v>26</v>
      </c>
      <c r="E640" s="12" t="s">
        <v>15</v>
      </c>
      <c r="F640" s="6">
        <v>45129</v>
      </c>
      <c r="G640" s="9" t="s">
        <v>36</v>
      </c>
      <c r="H640" s="10">
        <f t="shared" si="19"/>
        <v>23</v>
      </c>
      <c r="I640" s="9" t="s">
        <v>12</v>
      </c>
      <c r="J640" s="9" t="s">
        <v>36</v>
      </c>
      <c r="K640" s="19" t="s">
        <v>21</v>
      </c>
      <c r="L640" s="22">
        <v>2.4870000000000001</v>
      </c>
      <c r="M640" s="22">
        <v>1.972</v>
      </c>
      <c r="N640" t="s">
        <v>16</v>
      </c>
      <c r="O640" t="s">
        <v>88</v>
      </c>
    </row>
    <row r="641" spans="1:15" ht="16" x14ac:dyDescent="0.4">
      <c r="A641">
        <v>9</v>
      </c>
      <c r="B641" t="str">
        <f t="shared" si="18"/>
        <v>2023-08-14_0027</v>
      </c>
      <c r="C641" s="8">
        <v>45152</v>
      </c>
      <c r="D641" s="11">
        <v>27</v>
      </c>
      <c r="E641" s="12" t="s">
        <v>11</v>
      </c>
      <c r="F641" s="6">
        <v>45122</v>
      </c>
      <c r="G641" s="9" t="s">
        <v>36</v>
      </c>
      <c r="H641" s="10">
        <f t="shared" si="19"/>
        <v>30</v>
      </c>
      <c r="I641" s="9" t="s">
        <v>37</v>
      </c>
      <c r="J641" s="9" t="s">
        <v>36</v>
      </c>
      <c r="K641" s="19">
        <v>47.307000000000002</v>
      </c>
      <c r="L641" s="22">
        <v>2.6659999999999999</v>
      </c>
      <c r="M641" s="22">
        <v>2.1949999999999998</v>
      </c>
      <c r="N641" t="s">
        <v>14</v>
      </c>
    </row>
    <row r="642" spans="1:15" ht="16" x14ac:dyDescent="0.4">
      <c r="A642">
        <v>9</v>
      </c>
      <c r="B642" t="str">
        <f t="shared" ref="B642:B705" si="20">IF(ISBLANK(C642),NA(),_xlfn.CONCAT(TEXT(C642,"YYYY-MM-DD"),"_",TEXT(D642,"0000")))</f>
        <v>2023-08-14_0028</v>
      </c>
      <c r="C642" s="8">
        <v>45152</v>
      </c>
      <c r="D642" s="11">
        <v>28</v>
      </c>
      <c r="E642" s="12" t="s">
        <v>15</v>
      </c>
      <c r="F642" s="6">
        <v>45109</v>
      </c>
      <c r="G642" s="9" t="s">
        <v>39</v>
      </c>
      <c r="H642" s="10">
        <f t="shared" ref="H642:H705" si="21">IF(F642="NA","NA", DATEDIF(F642,C642,"d"))</f>
        <v>43</v>
      </c>
      <c r="I642" s="9" t="s">
        <v>38</v>
      </c>
      <c r="J642" s="9" t="s">
        <v>36</v>
      </c>
      <c r="K642" s="19">
        <v>44.588000000000001</v>
      </c>
      <c r="L642" s="22">
        <v>2.403</v>
      </c>
      <c r="M642" s="22">
        <v>2.0089999999999999</v>
      </c>
      <c r="N642" t="s">
        <v>14</v>
      </c>
      <c r="O642" t="s">
        <v>122</v>
      </c>
    </row>
    <row r="643" spans="1:15" ht="16" x14ac:dyDescent="0.4">
      <c r="A643">
        <v>9</v>
      </c>
      <c r="B643" t="str">
        <f t="shared" si="20"/>
        <v>2023-08-14_0029</v>
      </c>
      <c r="C643" s="8">
        <v>45152</v>
      </c>
      <c r="D643" s="11">
        <v>29</v>
      </c>
      <c r="E643" s="12" t="s">
        <v>11</v>
      </c>
      <c r="F643" s="6">
        <v>45122</v>
      </c>
      <c r="G643" s="9" t="s">
        <v>36</v>
      </c>
      <c r="H643" s="10">
        <f t="shared" si="21"/>
        <v>30</v>
      </c>
      <c r="I643" s="9" t="s">
        <v>38</v>
      </c>
      <c r="J643" s="9" t="s">
        <v>36</v>
      </c>
      <c r="K643" s="19">
        <v>41.331000000000003</v>
      </c>
      <c r="L643" s="22">
        <v>2.5230000000000001</v>
      </c>
      <c r="M643" s="22">
        <v>2.0070000000000001</v>
      </c>
      <c r="N643" t="s">
        <v>14</v>
      </c>
      <c r="O643" t="s">
        <v>85</v>
      </c>
    </row>
    <row r="644" spans="1:15" ht="16" x14ac:dyDescent="0.4">
      <c r="A644">
        <v>9</v>
      </c>
      <c r="B644" t="str">
        <f t="shared" si="20"/>
        <v>2023-08-14_0030</v>
      </c>
      <c r="C644" s="8">
        <v>45152</v>
      </c>
      <c r="D644" s="11">
        <v>30</v>
      </c>
      <c r="E644" s="12" t="s">
        <v>15</v>
      </c>
      <c r="F644" s="6">
        <v>45125</v>
      </c>
      <c r="G644" s="9" t="s">
        <v>36</v>
      </c>
      <c r="H644" s="10">
        <f t="shared" si="21"/>
        <v>27</v>
      </c>
      <c r="I644" s="9" t="s">
        <v>38</v>
      </c>
      <c r="J644" s="9" t="s">
        <v>36</v>
      </c>
      <c r="K644" s="19">
        <v>45.281999999999996</v>
      </c>
      <c r="L644" s="22">
        <v>2.492</v>
      </c>
      <c r="M644" s="22">
        <v>2.0819999999999999</v>
      </c>
      <c r="N644" t="s">
        <v>14</v>
      </c>
    </row>
    <row r="645" spans="1:15" ht="16" x14ac:dyDescent="0.4">
      <c r="A645">
        <v>9</v>
      </c>
      <c r="B645" t="str">
        <f t="shared" si="20"/>
        <v>2023-08-14_0031</v>
      </c>
      <c r="C645" s="8">
        <v>45152</v>
      </c>
      <c r="D645" s="11">
        <v>31</v>
      </c>
      <c r="E645" s="12" t="s">
        <v>15</v>
      </c>
      <c r="F645" s="6">
        <v>45127</v>
      </c>
      <c r="G645" s="9" t="s">
        <v>36</v>
      </c>
      <c r="H645" s="10">
        <f t="shared" si="21"/>
        <v>25</v>
      </c>
      <c r="I645" s="9" t="s">
        <v>37</v>
      </c>
      <c r="J645" s="9" t="s">
        <v>36</v>
      </c>
      <c r="K645" s="19">
        <v>44.792000000000002</v>
      </c>
      <c r="L645" s="22">
        <v>2.48</v>
      </c>
      <c r="M645" s="22">
        <v>2.0209999999999999</v>
      </c>
      <c r="N645" t="s">
        <v>14</v>
      </c>
    </row>
    <row r="646" spans="1:15" ht="16" x14ac:dyDescent="0.4">
      <c r="A646">
        <v>9</v>
      </c>
      <c r="B646" t="str">
        <f t="shared" si="20"/>
        <v>2023-08-14_0032</v>
      </c>
      <c r="C646" s="8">
        <v>45152</v>
      </c>
      <c r="D646" s="11">
        <v>32</v>
      </c>
      <c r="E646" s="12" t="s">
        <v>11</v>
      </c>
      <c r="F646" s="6">
        <v>45128</v>
      </c>
      <c r="G646" s="9" t="s">
        <v>36</v>
      </c>
      <c r="H646" s="10">
        <f t="shared" si="21"/>
        <v>24</v>
      </c>
      <c r="I646" s="9" t="s">
        <v>37</v>
      </c>
      <c r="J646" s="9" t="s">
        <v>36</v>
      </c>
      <c r="K646" s="19">
        <v>44.896000000000001</v>
      </c>
      <c r="L646" s="22">
        <v>2.57</v>
      </c>
      <c r="M646" s="22">
        <v>2.04</v>
      </c>
      <c r="N646" t="s">
        <v>14</v>
      </c>
      <c r="O646" t="s">
        <v>85</v>
      </c>
    </row>
    <row r="647" spans="1:15" ht="16" x14ac:dyDescent="0.4">
      <c r="A647">
        <v>9</v>
      </c>
      <c r="B647" t="str">
        <f t="shared" si="20"/>
        <v>2023-08-14_0033</v>
      </c>
      <c r="C647" s="8">
        <v>45152</v>
      </c>
      <c r="D647" s="11">
        <v>33</v>
      </c>
      <c r="E647" s="12" t="s">
        <v>15</v>
      </c>
      <c r="F647" s="6">
        <v>45120</v>
      </c>
      <c r="G647" s="9" t="s">
        <v>36</v>
      </c>
      <c r="H647" s="9">
        <f t="shared" si="21"/>
        <v>32</v>
      </c>
      <c r="I647" s="9" t="s">
        <v>37</v>
      </c>
      <c r="J647" s="9" t="s">
        <v>36</v>
      </c>
      <c r="K647" s="19">
        <v>45.121000000000002</v>
      </c>
      <c r="L647" s="22">
        <v>2.4329999999999998</v>
      </c>
      <c r="M647" s="22">
        <v>2.0390000000000001</v>
      </c>
      <c r="N647" t="s">
        <v>14</v>
      </c>
    </row>
    <row r="648" spans="1:15" ht="16" x14ac:dyDescent="0.4">
      <c r="A648">
        <v>9</v>
      </c>
      <c r="B648" t="str">
        <f t="shared" si="20"/>
        <v>2023-08-14_0034</v>
      </c>
      <c r="C648" s="8">
        <v>45152</v>
      </c>
      <c r="D648" s="11">
        <v>34</v>
      </c>
      <c r="E648" s="12" t="s">
        <v>15</v>
      </c>
      <c r="F648" s="6">
        <v>45123</v>
      </c>
      <c r="G648" s="9" t="s">
        <v>36</v>
      </c>
      <c r="H648" s="9">
        <f t="shared" si="21"/>
        <v>29</v>
      </c>
      <c r="I648" s="9" t="s">
        <v>37</v>
      </c>
      <c r="J648" s="9" t="s">
        <v>36</v>
      </c>
      <c r="K648" s="19">
        <v>44.823999999999998</v>
      </c>
      <c r="L648" s="22">
        <v>2.3239999999999998</v>
      </c>
      <c r="M648" s="22">
        <v>1.9530000000000001</v>
      </c>
      <c r="N648" t="s">
        <v>14</v>
      </c>
    </row>
    <row r="649" spans="1:15" ht="16" x14ac:dyDescent="0.4">
      <c r="A649">
        <v>9</v>
      </c>
      <c r="B649" t="str">
        <f t="shared" si="20"/>
        <v>2023-08-14_0035</v>
      </c>
      <c r="C649" s="8">
        <v>45152</v>
      </c>
      <c r="D649" s="11">
        <v>35</v>
      </c>
      <c r="E649" s="12" t="s">
        <v>11</v>
      </c>
      <c r="F649" s="6">
        <v>45136</v>
      </c>
      <c r="G649" s="9" t="s">
        <v>39</v>
      </c>
      <c r="H649" s="9">
        <f t="shared" si="21"/>
        <v>16</v>
      </c>
      <c r="I649" s="9" t="s">
        <v>37</v>
      </c>
      <c r="J649" s="9" t="s">
        <v>36</v>
      </c>
      <c r="K649" s="19">
        <v>42.713000000000001</v>
      </c>
      <c r="L649" s="22">
        <v>2.3690000000000002</v>
      </c>
      <c r="M649" s="22">
        <v>1.992</v>
      </c>
      <c r="N649" t="s">
        <v>14</v>
      </c>
      <c r="O649" t="s">
        <v>123</v>
      </c>
    </row>
    <row r="650" spans="1:15" ht="16" x14ac:dyDescent="0.4">
      <c r="A650">
        <v>9</v>
      </c>
      <c r="B650" t="str">
        <f t="shared" si="20"/>
        <v>2023-08-14_0036</v>
      </c>
      <c r="C650" s="8">
        <v>45152</v>
      </c>
      <c r="D650" s="11">
        <v>36</v>
      </c>
      <c r="E650" s="12" t="s">
        <v>15</v>
      </c>
      <c r="F650" s="6">
        <v>45133</v>
      </c>
      <c r="G650" s="9" t="s">
        <v>39</v>
      </c>
      <c r="H650" s="9">
        <f t="shared" si="21"/>
        <v>19</v>
      </c>
      <c r="I650" s="9" t="s">
        <v>37</v>
      </c>
      <c r="J650" s="9" t="s">
        <v>36</v>
      </c>
      <c r="K650" s="19">
        <v>40.938000000000002</v>
      </c>
      <c r="L650" s="22">
        <v>2.2130000000000001</v>
      </c>
      <c r="M650" s="22">
        <v>1.9179999999999999</v>
      </c>
      <c r="N650" t="s">
        <v>14</v>
      </c>
      <c r="O650" t="s">
        <v>40</v>
      </c>
    </row>
    <row r="651" spans="1:15" ht="16" x14ac:dyDescent="0.4">
      <c r="A651">
        <v>9</v>
      </c>
      <c r="B651" t="str">
        <f t="shared" si="20"/>
        <v>2023-08-14_0037</v>
      </c>
      <c r="C651" s="8">
        <v>45152</v>
      </c>
      <c r="D651" s="11">
        <v>37</v>
      </c>
      <c r="E651" s="12" t="s">
        <v>15</v>
      </c>
      <c r="F651" s="6">
        <v>45126</v>
      </c>
      <c r="G651" s="9" t="s">
        <v>36</v>
      </c>
      <c r="H651" s="9">
        <f t="shared" si="21"/>
        <v>26</v>
      </c>
      <c r="I651" s="9" t="s">
        <v>37</v>
      </c>
      <c r="J651" s="9" t="s">
        <v>36</v>
      </c>
      <c r="K651" s="19">
        <v>41.692999999999998</v>
      </c>
      <c r="L651" s="22">
        <v>2.3050000000000002</v>
      </c>
      <c r="M651" s="22">
        <v>1.75</v>
      </c>
      <c r="N651" t="s">
        <v>14</v>
      </c>
    </row>
    <row r="652" spans="1:15" ht="16" x14ac:dyDescent="0.4">
      <c r="A652">
        <v>9</v>
      </c>
      <c r="B652" t="str">
        <f t="shared" si="20"/>
        <v>2023-08-14_0038</v>
      </c>
      <c r="C652" s="8">
        <v>45152</v>
      </c>
      <c r="D652" s="11">
        <v>38</v>
      </c>
      <c r="E652" s="12" t="s">
        <v>15</v>
      </c>
      <c r="F652" s="6">
        <v>45129</v>
      </c>
      <c r="G652" s="9" t="s">
        <v>36</v>
      </c>
      <c r="H652" s="9">
        <f t="shared" si="21"/>
        <v>23</v>
      </c>
      <c r="I652" s="9" t="s">
        <v>37</v>
      </c>
      <c r="J652" s="9" t="s">
        <v>36</v>
      </c>
      <c r="K652" s="19">
        <v>43.396000000000001</v>
      </c>
      <c r="L652" s="22">
        <v>2.3759999999999999</v>
      </c>
      <c r="M652" s="22">
        <v>1.974</v>
      </c>
      <c r="N652" t="s">
        <v>14</v>
      </c>
    </row>
    <row r="653" spans="1:15" ht="16" x14ac:dyDescent="0.4">
      <c r="A653">
        <v>9</v>
      </c>
      <c r="B653" t="str">
        <f t="shared" si="20"/>
        <v>2023-08-14_0039</v>
      </c>
      <c r="C653" s="8">
        <v>45152</v>
      </c>
      <c r="D653" s="11">
        <v>39</v>
      </c>
      <c r="E653" s="12" t="s">
        <v>15</v>
      </c>
      <c r="F653" s="6">
        <v>45127</v>
      </c>
      <c r="G653" s="9" t="s">
        <v>39</v>
      </c>
      <c r="H653" s="9">
        <f t="shared" si="21"/>
        <v>25</v>
      </c>
      <c r="I653" s="9" t="s">
        <v>124</v>
      </c>
      <c r="J653" s="9" t="s">
        <v>36</v>
      </c>
      <c r="K653" s="19">
        <v>43.851999999999997</v>
      </c>
      <c r="L653" s="22">
        <v>2.4630000000000001</v>
      </c>
      <c r="M653" s="22">
        <v>1.998</v>
      </c>
      <c r="N653" t="s">
        <v>14</v>
      </c>
      <c r="O653" t="s">
        <v>40</v>
      </c>
    </row>
    <row r="654" spans="1:15" ht="16" x14ac:dyDescent="0.4">
      <c r="A654">
        <v>9</v>
      </c>
      <c r="B654" t="str">
        <f t="shared" si="20"/>
        <v>2023-08-14_0040</v>
      </c>
      <c r="C654" s="8">
        <v>45152</v>
      </c>
      <c r="D654" s="11">
        <v>40</v>
      </c>
      <c r="E654" s="12" t="s">
        <v>15</v>
      </c>
      <c r="F654" s="6">
        <v>45126</v>
      </c>
      <c r="G654" s="9" t="s">
        <v>39</v>
      </c>
      <c r="H654" s="9">
        <f t="shared" si="21"/>
        <v>26</v>
      </c>
      <c r="I654" s="9" t="s">
        <v>37</v>
      </c>
      <c r="J654" s="9" t="s">
        <v>36</v>
      </c>
      <c r="K654" s="19">
        <v>41.255000000000003</v>
      </c>
      <c r="L654" s="22">
        <v>2.1909999999999998</v>
      </c>
      <c r="M654" s="22">
        <v>1.82</v>
      </c>
      <c r="N654" t="s">
        <v>14</v>
      </c>
      <c r="O654" t="s">
        <v>40</v>
      </c>
    </row>
    <row r="655" spans="1:15" ht="16" x14ac:dyDescent="0.4">
      <c r="A655">
        <v>9</v>
      </c>
      <c r="B655" t="str">
        <f t="shared" si="20"/>
        <v>2023-08-14_0041</v>
      </c>
      <c r="C655" s="8">
        <v>45152</v>
      </c>
      <c r="D655" s="11">
        <v>41</v>
      </c>
      <c r="E655" s="12" t="s">
        <v>15</v>
      </c>
      <c r="F655" s="6">
        <v>45138</v>
      </c>
      <c r="G655" s="9" t="s">
        <v>36</v>
      </c>
      <c r="H655" s="9">
        <f t="shared" si="21"/>
        <v>14</v>
      </c>
      <c r="I655" s="9" t="s">
        <v>18</v>
      </c>
      <c r="J655" s="9" t="s">
        <v>36</v>
      </c>
      <c r="K655" s="19">
        <v>47.790999999999997</v>
      </c>
      <c r="L655" s="22">
        <v>2.33</v>
      </c>
      <c r="M655" s="22">
        <v>2.198</v>
      </c>
      <c r="N655" t="s">
        <v>14</v>
      </c>
    </row>
    <row r="656" spans="1:15" ht="16" x14ac:dyDescent="0.4">
      <c r="A656">
        <v>10</v>
      </c>
      <c r="B656" t="str">
        <f t="shared" si="20"/>
        <v>2023-08-14_0042</v>
      </c>
      <c r="C656" s="8">
        <v>45152</v>
      </c>
      <c r="D656" s="11">
        <v>42</v>
      </c>
      <c r="E656" s="12" t="s">
        <v>11</v>
      </c>
      <c r="F656" s="6">
        <v>45109</v>
      </c>
      <c r="G656" s="9" t="s">
        <v>39</v>
      </c>
      <c r="H656" s="9">
        <f t="shared" si="21"/>
        <v>43</v>
      </c>
      <c r="I656" s="9" t="s">
        <v>38</v>
      </c>
      <c r="J656" s="9" t="s">
        <v>39</v>
      </c>
      <c r="K656" s="19">
        <v>41.180999999999997</v>
      </c>
      <c r="L656" s="22">
        <v>2.3519999999999999</v>
      </c>
      <c r="M656" s="22">
        <v>1.958</v>
      </c>
      <c r="N656" t="s">
        <v>14</v>
      </c>
      <c r="O656" t="s">
        <v>125</v>
      </c>
    </row>
    <row r="657" spans="1:15" ht="16" x14ac:dyDescent="0.4">
      <c r="A657">
        <v>10</v>
      </c>
      <c r="B657" t="str">
        <f t="shared" si="20"/>
        <v>2023-08-14_0043</v>
      </c>
      <c r="C657" s="8">
        <v>45152</v>
      </c>
      <c r="D657" s="11">
        <v>43</v>
      </c>
      <c r="E657" s="12" t="s">
        <v>11</v>
      </c>
      <c r="F657" s="6">
        <v>45131</v>
      </c>
      <c r="G657" s="9" t="s">
        <v>36</v>
      </c>
      <c r="H657" s="9">
        <f t="shared" si="21"/>
        <v>21</v>
      </c>
      <c r="I657" s="9" t="s">
        <v>18</v>
      </c>
      <c r="J657" s="9" t="s">
        <v>39</v>
      </c>
      <c r="K657" s="19">
        <v>41.701000000000001</v>
      </c>
      <c r="L657" s="22">
        <v>2.3010000000000002</v>
      </c>
      <c r="M657" s="22">
        <v>1.7869999999999999</v>
      </c>
      <c r="N657" t="s">
        <v>14</v>
      </c>
    </row>
    <row r="658" spans="1:15" ht="16" x14ac:dyDescent="0.4">
      <c r="A658">
        <v>10</v>
      </c>
      <c r="B658" t="str">
        <f t="shared" si="20"/>
        <v>2023-08-14_0044</v>
      </c>
      <c r="C658" s="8">
        <v>45152</v>
      </c>
      <c r="D658" s="11">
        <v>44</v>
      </c>
      <c r="E658" s="12" t="s">
        <v>15</v>
      </c>
      <c r="F658" s="6">
        <v>45125</v>
      </c>
      <c r="G658" s="9" t="s">
        <v>39</v>
      </c>
      <c r="H658" s="9">
        <f t="shared" si="21"/>
        <v>27</v>
      </c>
      <c r="I658" s="9" t="s">
        <v>18</v>
      </c>
      <c r="J658" s="9" t="s">
        <v>39</v>
      </c>
      <c r="K658" s="19">
        <v>43.777999999999999</v>
      </c>
      <c r="L658" s="22">
        <v>2.282</v>
      </c>
      <c r="M658" s="22">
        <v>1.9350000000000001</v>
      </c>
      <c r="N658" t="s">
        <v>14</v>
      </c>
      <c r="O658" t="s">
        <v>126</v>
      </c>
    </row>
    <row r="659" spans="1:15" ht="16" x14ac:dyDescent="0.4">
      <c r="A659">
        <v>10</v>
      </c>
      <c r="B659" t="str">
        <f t="shared" si="20"/>
        <v>2023-08-14_0045</v>
      </c>
      <c r="C659" s="8">
        <v>45152</v>
      </c>
      <c r="D659" s="11">
        <v>45</v>
      </c>
      <c r="E659" s="12" t="s">
        <v>15</v>
      </c>
      <c r="F659" s="6">
        <v>45127</v>
      </c>
      <c r="G659" s="9" t="s">
        <v>36</v>
      </c>
      <c r="H659" s="9">
        <f t="shared" si="21"/>
        <v>25</v>
      </c>
      <c r="I659" s="9" t="s">
        <v>37</v>
      </c>
      <c r="J659" s="9" t="s">
        <v>36</v>
      </c>
      <c r="K659" s="19">
        <v>42.134999999999998</v>
      </c>
      <c r="L659" s="22">
        <v>2.258</v>
      </c>
      <c r="M659" s="22">
        <v>1.859</v>
      </c>
      <c r="N659" t="s">
        <v>14</v>
      </c>
    </row>
    <row r="660" spans="1:15" ht="16" x14ac:dyDescent="0.4">
      <c r="A660">
        <v>10</v>
      </c>
      <c r="B660" t="str">
        <f t="shared" si="20"/>
        <v>2023-08-14_0046</v>
      </c>
      <c r="C660" s="8">
        <v>45152</v>
      </c>
      <c r="D660" s="11">
        <v>46</v>
      </c>
      <c r="E660" s="12" t="s">
        <v>11</v>
      </c>
      <c r="F660" s="6" t="s">
        <v>21</v>
      </c>
      <c r="G660" s="9" t="s">
        <v>21</v>
      </c>
      <c r="H660" s="9" t="str">
        <f t="shared" si="21"/>
        <v>NA</v>
      </c>
      <c r="I660" s="9" t="s">
        <v>37</v>
      </c>
      <c r="J660" s="9" t="s">
        <v>36</v>
      </c>
      <c r="K660" s="19">
        <v>39.695</v>
      </c>
      <c r="L660" s="22">
        <v>1.9139999999999999</v>
      </c>
      <c r="M660" s="22">
        <v>1.7030000000000001</v>
      </c>
      <c r="N660" t="s">
        <v>14</v>
      </c>
      <c r="O660" t="s">
        <v>127</v>
      </c>
    </row>
    <row r="661" spans="1:15" ht="16" x14ac:dyDescent="0.4">
      <c r="A661">
        <v>10</v>
      </c>
      <c r="B661" t="str">
        <f t="shared" si="20"/>
        <v>2023-08-14_0047</v>
      </c>
      <c r="C661" s="8">
        <v>45152</v>
      </c>
      <c r="D661" s="11">
        <v>47</v>
      </c>
      <c r="E661" s="12" t="s">
        <v>11</v>
      </c>
      <c r="F661" s="6">
        <v>45122</v>
      </c>
      <c r="G661" s="9" t="s">
        <v>39</v>
      </c>
      <c r="H661" s="9">
        <f t="shared" si="21"/>
        <v>30</v>
      </c>
      <c r="I661" s="9" t="s">
        <v>18</v>
      </c>
      <c r="J661" s="9" t="s">
        <v>36</v>
      </c>
      <c r="K661" s="19" t="s">
        <v>21</v>
      </c>
      <c r="L661" s="22">
        <v>2.431</v>
      </c>
      <c r="M661" s="22">
        <v>2.0390000000000001</v>
      </c>
      <c r="N661" t="s">
        <v>16</v>
      </c>
      <c r="O661" t="s">
        <v>110</v>
      </c>
    </row>
    <row r="662" spans="1:15" ht="16" x14ac:dyDescent="0.4">
      <c r="A662">
        <v>10</v>
      </c>
      <c r="B662" t="str">
        <f t="shared" si="20"/>
        <v>2023-08-14_0048</v>
      </c>
      <c r="C662" s="8">
        <v>45152</v>
      </c>
      <c r="D662" s="11">
        <v>48</v>
      </c>
      <c r="E662" s="12" t="s">
        <v>15</v>
      </c>
      <c r="F662" s="6">
        <v>45127</v>
      </c>
      <c r="G662" s="9" t="s">
        <v>36</v>
      </c>
      <c r="H662" s="9">
        <f t="shared" si="21"/>
        <v>25</v>
      </c>
      <c r="I662" s="9" t="s">
        <v>38</v>
      </c>
      <c r="J662" s="9" t="s">
        <v>36</v>
      </c>
      <c r="K662" s="19">
        <v>43.308</v>
      </c>
      <c r="L662" s="22">
        <v>2.3330000000000002</v>
      </c>
      <c r="M662" s="22">
        <v>2.004</v>
      </c>
      <c r="N662" t="s">
        <v>14</v>
      </c>
    </row>
    <row r="663" spans="1:15" ht="16" x14ac:dyDescent="0.4">
      <c r="A663">
        <v>10</v>
      </c>
      <c r="B663" t="str">
        <f t="shared" si="20"/>
        <v>2023-08-14_0049</v>
      </c>
      <c r="C663" s="8">
        <v>45152</v>
      </c>
      <c r="D663" s="11">
        <v>49</v>
      </c>
      <c r="E663" s="12" t="s">
        <v>11</v>
      </c>
      <c r="F663" s="6">
        <v>45127</v>
      </c>
      <c r="G663" s="9" t="s">
        <v>36</v>
      </c>
      <c r="H663" s="9">
        <f t="shared" si="21"/>
        <v>25</v>
      </c>
      <c r="I663" s="9" t="s">
        <v>37</v>
      </c>
      <c r="J663" s="9" t="s">
        <v>36</v>
      </c>
      <c r="K663" s="19">
        <v>37.378999999999998</v>
      </c>
      <c r="L663" s="22">
        <v>2.097</v>
      </c>
      <c r="M663" s="22">
        <v>1.843</v>
      </c>
      <c r="N663" t="s">
        <v>14</v>
      </c>
      <c r="O663" t="s">
        <v>43</v>
      </c>
    </row>
    <row r="664" spans="1:15" ht="16" x14ac:dyDescent="0.4">
      <c r="A664">
        <v>10</v>
      </c>
      <c r="B664" t="str">
        <f t="shared" si="20"/>
        <v>2023-08-14_0050</v>
      </c>
      <c r="C664" s="8">
        <v>45152</v>
      </c>
      <c r="D664" s="11">
        <v>50</v>
      </c>
      <c r="E664" s="12" t="s">
        <v>15</v>
      </c>
      <c r="F664" s="6">
        <v>45128</v>
      </c>
      <c r="G664" s="9" t="s">
        <v>39</v>
      </c>
      <c r="H664" s="9">
        <f t="shared" si="21"/>
        <v>24</v>
      </c>
      <c r="I664" s="9" t="s">
        <v>18</v>
      </c>
      <c r="J664" s="9" t="s">
        <v>39</v>
      </c>
      <c r="K664" s="19">
        <v>44.064</v>
      </c>
      <c r="L664" s="22">
        <v>2.2749999999999999</v>
      </c>
      <c r="M664" s="22">
        <v>2.0139999999999998</v>
      </c>
      <c r="N664" t="s">
        <v>14</v>
      </c>
      <c r="O664" t="s">
        <v>128</v>
      </c>
    </row>
    <row r="665" spans="1:15" ht="16" x14ac:dyDescent="0.4">
      <c r="A665">
        <v>10</v>
      </c>
      <c r="B665" t="str">
        <f t="shared" si="20"/>
        <v>2023-08-14_0051</v>
      </c>
      <c r="C665" s="8">
        <v>45152</v>
      </c>
      <c r="D665" s="11">
        <v>51</v>
      </c>
      <c r="E665" s="12" t="s">
        <v>15</v>
      </c>
      <c r="F665" s="6">
        <v>45121</v>
      </c>
      <c r="G665" s="9" t="s">
        <v>36</v>
      </c>
      <c r="H665" s="9">
        <f t="shared" si="21"/>
        <v>31</v>
      </c>
      <c r="I665" s="9" t="s">
        <v>18</v>
      </c>
      <c r="J665" s="9" t="s">
        <v>39</v>
      </c>
      <c r="K665" s="19">
        <v>43</v>
      </c>
      <c r="L665" s="22">
        <v>2.3010000000000002</v>
      </c>
      <c r="M665" s="22">
        <v>1.974</v>
      </c>
      <c r="N665" t="s">
        <v>14</v>
      </c>
      <c r="O665" t="s">
        <v>41</v>
      </c>
    </row>
    <row r="666" spans="1:15" ht="16" x14ac:dyDescent="0.4">
      <c r="A666">
        <v>10</v>
      </c>
      <c r="B666" t="str">
        <f t="shared" si="20"/>
        <v>2023-08-14_0052</v>
      </c>
      <c r="C666" s="8">
        <v>45152</v>
      </c>
      <c r="D666" s="11">
        <v>52</v>
      </c>
      <c r="E666" s="12" t="s">
        <v>11</v>
      </c>
      <c r="F666" s="6">
        <v>45109</v>
      </c>
      <c r="G666" s="9" t="s">
        <v>39</v>
      </c>
      <c r="H666" s="9">
        <f t="shared" si="21"/>
        <v>43</v>
      </c>
      <c r="I666" s="9" t="s">
        <v>18</v>
      </c>
      <c r="J666" s="9" t="s">
        <v>36</v>
      </c>
      <c r="K666" s="19">
        <v>41.478000000000002</v>
      </c>
      <c r="L666" s="22">
        <v>2.4009999999999998</v>
      </c>
      <c r="M666" s="22">
        <v>2.06</v>
      </c>
      <c r="N666" t="s">
        <v>14</v>
      </c>
      <c r="O666" t="s">
        <v>55</v>
      </c>
    </row>
    <row r="667" spans="1:15" ht="16" x14ac:dyDescent="0.4">
      <c r="A667">
        <v>10</v>
      </c>
      <c r="B667" t="str">
        <f t="shared" si="20"/>
        <v>2023-08-14_0053</v>
      </c>
      <c r="C667" s="8">
        <v>45152</v>
      </c>
      <c r="D667" s="11">
        <v>53</v>
      </c>
      <c r="E667" s="12" t="s">
        <v>15</v>
      </c>
      <c r="F667" s="6">
        <v>45104</v>
      </c>
      <c r="G667" s="9" t="s">
        <v>36</v>
      </c>
      <c r="H667" s="9">
        <f t="shared" si="21"/>
        <v>48</v>
      </c>
      <c r="I667" s="9" t="s">
        <v>12</v>
      </c>
      <c r="J667" s="9" t="s">
        <v>36</v>
      </c>
      <c r="K667" s="19">
        <v>43.984999999999999</v>
      </c>
      <c r="L667" s="22">
        <v>2.3980000000000001</v>
      </c>
      <c r="M667" s="22">
        <v>2.0059999999999998</v>
      </c>
      <c r="N667" t="s">
        <v>14</v>
      </c>
      <c r="O667" t="s">
        <v>55</v>
      </c>
    </row>
    <row r="668" spans="1:15" ht="16" x14ac:dyDescent="0.4">
      <c r="A668">
        <v>10</v>
      </c>
      <c r="B668" t="str">
        <f t="shared" si="20"/>
        <v>2023-08-14_0054</v>
      </c>
      <c r="C668" s="8">
        <v>45152</v>
      </c>
      <c r="D668" s="11">
        <v>54</v>
      </c>
      <c r="E668" s="12" t="s">
        <v>15</v>
      </c>
      <c r="F668" s="6" t="s">
        <v>21</v>
      </c>
      <c r="G668" s="9" t="s">
        <v>21</v>
      </c>
      <c r="H668" s="9" t="str">
        <f t="shared" si="21"/>
        <v>NA</v>
      </c>
      <c r="I668" s="9" t="s">
        <v>18</v>
      </c>
      <c r="J668" s="9" t="s">
        <v>36</v>
      </c>
      <c r="K668" s="19">
        <v>42.167000000000002</v>
      </c>
      <c r="L668" s="22">
        <v>2.1970000000000001</v>
      </c>
      <c r="M668" s="22">
        <v>1.966</v>
      </c>
      <c r="N668" t="s">
        <v>14</v>
      </c>
      <c r="O668" t="s">
        <v>129</v>
      </c>
    </row>
    <row r="669" spans="1:15" ht="16" x14ac:dyDescent="0.4">
      <c r="A669">
        <v>10</v>
      </c>
      <c r="B669" t="str">
        <f t="shared" si="20"/>
        <v>2023-08-14_0055</v>
      </c>
      <c r="C669" s="8">
        <v>45152</v>
      </c>
      <c r="D669" s="11">
        <v>55</v>
      </c>
      <c r="E669" s="12" t="s">
        <v>15</v>
      </c>
      <c r="F669" s="6">
        <v>45117</v>
      </c>
      <c r="G669" s="9" t="s">
        <v>39</v>
      </c>
      <c r="H669" s="9">
        <f t="shared" si="21"/>
        <v>35</v>
      </c>
      <c r="I669" s="9" t="s">
        <v>37</v>
      </c>
      <c r="J669" s="9" t="s">
        <v>36</v>
      </c>
      <c r="K669" s="19" t="s">
        <v>21</v>
      </c>
      <c r="L669" s="22">
        <v>2.2290000000000001</v>
      </c>
      <c r="M669" s="22">
        <v>1.8819999999999999</v>
      </c>
      <c r="N669" t="s">
        <v>16</v>
      </c>
      <c r="O669" t="s">
        <v>105</v>
      </c>
    </row>
    <row r="670" spans="1:15" ht="16" x14ac:dyDescent="0.4">
      <c r="A670">
        <v>10</v>
      </c>
      <c r="B670" t="str">
        <f t="shared" si="20"/>
        <v>2023-08-14_0056</v>
      </c>
      <c r="C670" s="8">
        <v>45152</v>
      </c>
      <c r="D670" s="11">
        <v>56</v>
      </c>
      <c r="E670" s="12" t="s">
        <v>11</v>
      </c>
      <c r="F670" s="6" t="s">
        <v>21</v>
      </c>
      <c r="G670" s="9" t="s">
        <v>21</v>
      </c>
      <c r="H670" s="9" t="str">
        <f t="shared" si="21"/>
        <v>NA</v>
      </c>
      <c r="I670" s="9" t="s">
        <v>38</v>
      </c>
      <c r="J670" s="9" t="s">
        <v>39</v>
      </c>
      <c r="K670" s="19" t="s">
        <v>21</v>
      </c>
      <c r="L670" s="22">
        <v>2.5019999999999998</v>
      </c>
      <c r="M670" s="22">
        <v>1.929</v>
      </c>
      <c r="N670" t="s">
        <v>16</v>
      </c>
      <c r="O670" t="s">
        <v>130</v>
      </c>
    </row>
    <row r="671" spans="1:15" ht="16" x14ac:dyDescent="0.4">
      <c r="A671">
        <v>10</v>
      </c>
      <c r="B671" t="str">
        <f t="shared" si="20"/>
        <v>2023-08-14_0057</v>
      </c>
      <c r="C671" s="8">
        <v>45152</v>
      </c>
      <c r="D671" s="11">
        <v>57</v>
      </c>
      <c r="E671" s="12" t="s">
        <v>11</v>
      </c>
      <c r="F671" s="6">
        <v>45127</v>
      </c>
      <c r="G671" s="9" t="s">
        <v>36</v>
      </c>
      <c r="H671" s="9">
        <f t="shared" si="21"/>
        <v>25</v>
      </c>
      <c r="I671" s="9" t="s">
        <v>37</v>
      </c>
      <c r="J671" s="9" t="s">
        <v>36</v>
      </c>
      <c r="K671" s="19" t="s">
        <v>21</v>
      </c>
      <c r="L671" s="22">
        <v>2.39</v>
      </c>
      <c r="M671" s="22">
        <v>1.9470000000000001</v>
      </c>
      <c r="N671" t="s">
        <v>16</v>
      </c>
      <c r="O671" t="s">
        <v>104</v>
      </c>
    </row>
    <row r="672" spans="1:15" ht="16" x14ac:dyDescent="0.4">
      <c r="A672">
        <v>50</v>
      </c>
      <c r="B672" t="str">
        <f t="shared" si="20"/>
        <v>2023-08-11_0001</v>
      </c>
      <c r="C672" s="8">
        <v>45149</v>
      </c>
      <c r="D672" s="11">
        <v>1</v>
      </c>
      <c r="E672" s="12" t="s">
        <v>15</v>
      </c>
      <c r="F672" s="6">
        <v>45127</v>
      </c>
      <c r="G672" s="9" t="s">
        <v>36</v>
      </c>
      <c r="H672" s="9">
        <f t="shared" si="21"/>
        <v>22</v>
      </c>
      <c r="I672" s="9" t="s">
        <v>12</v>
      </c>
      <c r="J672" s="9" t="s">
        <v>36</v>
      </c>
      <c r="K672" s="19">
        <v>43.091000000000001</v>
      </c>
      <c r="L672" s="22">
        <v>2.431</v>
      </c>
      <c r="M672" s="22">
        <v>1.948</v>
      </c>
      <c r="N672" t="s">
        <v>14</v>
      </c>
    </row>
    <row r="673" spans="1:15" ht="16" x14ac:dyDescent="0.4">
      <c r="A673">
        <v>50</v>
      </c>
      <c r="B673" t="str">
        <f t="shared" si="20"/>
        <v>2023-08-11_0002</v>
      </c>
      <c r="C673" s="8">
        <v>45149</v>
      </c>
      <c r="D673" s="11">
        <v>2</v>
      </c>
      <c r="E673" s="12" t="s">
        <v>15</v>
      </c>
      <c r="F673" s="6">
        <v>45123</v>
      </c>
      <c r="G673" s="9" t="s">
        <v>36</v>
      </c>
      <c r="H673" s="9">
        <f t="shared" si="21"/>
        <v>26</v>
      </c>
      <c r="I673" s="9" t="s">
        <v>37</v>
      </c>
      <c r="J673" s="9" t="s">
        <v>36</v>
      </c>
      <c r="K673" s="19">
        <v>42.218000000000004</v>
      </c>
      <c r="L673" s="22">
        <v>2.3420000000000001</v>
      </c>
      <c r="M673" s="22">
        <v>2.069</v>
      </c>
      <c r="N673" t="s">
        <v>14</v>
      </c>
    </row>
    <row r="674" spans="1:15" ht="16" x14ac:dyDescent="0.4">
      <c r="A674">
        <v>51</v>
      </c>
      <c r="B674" t="str">
        <f t="shared" si="20"/>
        <v>2023-08-11_0003</v>
      </c>
      <c r="C674" s="8">
        <v>45149</v>
      </c>
      <c r="D674" s="11">
        <v>3</v>
      </c>
      <c r="E674" s="12" t="s">
        <v>15</v>
      </c>
      <c r="F674" s="6">
        <v>45122</v>
      </c>
      <c r="G674" s="9" t="s">
        <v>36</v>
      </c>
      <c r="H674" s="9">
        <f t="shared" si="21"/>
        <v>27</v>
      </c>
      <c r="I674" s="9" t="s">
        <v>37</v>
      </c>
      <c r="J674" s="9" t="s">
        <v>36</v>
      </c>
      <c r="K674" s="19">
        <v>38.539000000000001</v>
      </c>
      <c r="L674" s="22">
        <v>2.2290000000000001</v>
      </c>
      <c r="M674" s="22">
        <v>2.0190000000000001</v>
      </c>
      <c r="N674" t="s">
        <v>14</v>
      </c>
    </row>
    <row r="675" spans="1:15" ht="16" x14ac:dyDescent="0.4">
      <c r="A675">
        <v>51</v>
      </c>
      <c r="B675" t="str">
        <f t="shared" si="20"/>
        <v>2023-08-11_0004</v>
      </c>
      <c r="C675" s="8">
        <v>45149</v>
      </c>
      <c r="D675" s="11">
        <v>4</v>
      </c>
      <c r="E675" s="12" t="s">
        <v>11</v>
      </c>
      <c r="F675" s="6">
        <v>45123</v>
      </c>
      <c r="G675" s="9" t="s">
        <v>36</v>
      </c>
      <c r="H675" s="9">
        <f t="shared" si="21"/>
        <v>26</v>
      </c>
      <c r="I675" s="9" t="s">
        <v>37</v>
      </c>
      <c r="J675" s="9" t="s">
        <v>36</v>
      </c>
      <c r="K675" s="19">
        <v>44.807000000000002</v>
      </c>
      <c r="L675" s="22">
        <v>2.5960000000000001</v>
      </c>
      <c r="M675" s="22">
        <v>2.153</v>
      </c>
      <c r="N675" t="s">
        <v>14</v>
      </c>
      <c r="O675" t="s">
        <v>42</v>
      </c>
    </row>
    <row r="676" spans="1:15" ht="16" x14ac:dyDescent="0.4">
      <c r="A676">
        <v>51</v>
      </c>
      <c r="B676" t="str">
        <f t="shared" si="20"/>
        <v>2023-08-11_0005</v>
      </c>
      <c r="C676" s="8">
        <v>45149</v>
      </c>
      <c r="D676" s="11">
        <v>5</v>
      </c>
      <c r="E676" s="12" t="s">
        <v>15</v>
      </c>
      <c r="F676" s="6">
        <v>45126</v>
      </c>
      <c r="G676" s="9" t="s">
        <v>39</v>
      </c>
      <c r="H676" s="9">
        <f t="shared" si="21"/>
        <v>23</v>
      </c>
      <c r="I676" s="9" t="s">
        <v>12</v>
      </c>
      <c r="J676" s="9" t="s">
        <v>36</v>
      </c>
      <c r="K676" s="19">
        <v>43.851999999999997</v>
      </c>
      <c r="L676" s="22">
        <v>2.3839999999999999</v>
      </c>
      <c r="M676" s="22">
        <v>2.0760000000000001</v>
      </c>
      <c r="N676" t="s">
        <v>14</v>
      </c>
      <c r="O676" t="s">
        <v>40</v>
      </c>
    </row>
    <row r="677" spans="1:15" ht="16" x14ac:dyDescent="0.4">
      <c r="A677">
        <v>51</v>
      </c>
      <c r="B677" t="str">
        <f t="shared" si="20"/>
        <v>2023-08-11_0006</v>
      </c>
      <c r="C677" s="8">
        <v>45149</v>
      </c>
      <c r="D677" s="11">
        <v>6</v>
      </c>
      <c r="E677" s="12" t="s">
        <v>15</v>
      </c>
      <c r="F677" s="6">
        <v>45126</v>
      </c>
      <c r="G677" s="9" t="s">
        <v>36</v>
      </c>
      <c r="H677" s="9">
        <f t="shared" si="21"/>
        <v>23</v>
      </c>
      <c r="I677" s="9" t="s">
        <v>37</v>
      </c>
      <c r="J677" s="9" t="s">
        <v>36</v>
      </c>
      <c r="K677" s="19">
        <v>40.613</v>
      </c>
      <c r="L677" s="22">
        <v>2.3439999999999999</v>
      </c>
      <c r="M677" s="22">
        <v>1.9770000000000001</v>
      </c>
      <c r="N677" t="s">
        <v>14</v>
      </c>
    </row>
    <row r="678" spans="1:15" ht="16" x14ac:dyDescent="0.4">
      <c r="A678">
        <v>51</v>
      </c>
      <c r="B678" t="str">
        <f t="shared" si="20"/>
        <v>2023-08-11_0007</v>
      </c>
      <c r="C678" s="8">
        <v>45149</v>
      </c>
      <c r="D678" s="11">
        <v>7</v>
      </c>
      <c r="E678" s="12" t="s">
        <v>11</v>
      </c>
      <c r="F678" s="6" t="s">
        <v>21</v>
      </c>
      <c r="G678" s="9" t="s">
        <v>21</v>
      </c>
      <c r="H678" s="9" t="str">
        <f t="shared" si="21"/>
        <v>NA</v>
      </c>
      <c r="I678" s="9" t="s">
        <v>37</v>
      </c>
      <c r="J678" s="9" t="s">
        <v>36</v>
      </c>
      <c r="K678" s="19">
        <v>45.89</v>
      </c>
      <c r="L678" s="22">
        <v>2.496</v>
      </c>
      <c r="M678" s="22">
        <v>2.1640000000000001</v>
      </c>
      <c r="N678" t="s">
        <v>14</v>
      </c>
      <c r="O678" t="s">
        <v>131</v>
      </c>
    </row>
    <row r="679" spans="1:15" ht="16" x14ac:dyDescent="0.4">
      <c r="A679">
        <v>51</v>
      </c>
      <c r="B679" t="str">
        <f t="shared" si="20"/>
        <v>2023-08-11_0008</v>
      </c>
      <c r="C679" s="8">
        <v>45149</v>
      </c>
      <c r="D679" s="11">
        <v>8</v>
      </c>
      <c r="E679" s="12" t="s">
        <v>11</v>
      </c>
      <c r="F679" s="6">
        <v>45113</v>
      </c>
      <c r="G679" s="9" t="s">
        <v>36</v>
      </c>
      <c r="H679" s="9">
        <f t="shared" si="21"/>
        <v>36</v>
      </c>
      <c r="I679" s="9" t="s">
        <v>17</v>
      </c>
      <c r="J679" s="9" t="s">
        <v>36</v>
      </c>
      <c r="K679" s="19" t="s">
        <v>21</v>
      </c>
      <c r="L679" s="22">
        <v>2.5430000000000001</v>
      </c>
      <c r="M679" s="22">
        <v>2.1309999999999998</v>
      </c>
      <c r="N679" t="s">
        <v>16</v>
      </c>
      <c r="O679" t="s">
        <v>48</v>
      </c>
    </row>
    <row r="680" spans="1:15" ht="16" x14ac:dyDescent="0.4">
      <c r="A680">
        <v>51</v>
      </c>
      <c r="B680" t="str">
        <f t="shared" si="20"/>
        <v>2023-08-11_0009</v>
      </c>
      <c r="C680" s="8">
        <v>45149</v>
      </c>
      <c r="D680" s="11">
        <v>9</v>
      </c>
      <c r="E680" s="12" t="s">
        <v>15</v>
      </c>
      <c r="F680" s="6">
        <v>45130</v>
      </c>
      <c r="G680" s="9" t="s">
        <v>36</v>
      </c>
      <c r="H680" s="9">
        <f t="shared" si="21"/>
        <v>19</v>
      </c>
      <c r="I680" s="9" t="s">
        <v>17</v>
      </c>
      <c r="J680" s="9" t="s">
        <v>36</v>
      </c>
      <c r="K680" s="19" t="s">
        <v>21</v>
      </c>
      <c r="L680" s="22">
        <v>2.7360000000000002</v>
      </c>
      <c r="M680" s="22">
        <v>2.097</v>
      </c>
      <c r="N680" t="s">
        <v>16</v>
      </c>
      <c r="O680" t="s">
        <v>48</v>
      </c>
    </row>
    <row r="681" spans="1:15" ht="16" x14ac:dyDescent="0.4">
      <c r="A681">
        <v>51</v>
      </c>
      <c r="B681" t="str">
        <f t="shared" si="20"/>
        <v>2023-08-11_0010</v>
      </c>
      <c r="C681" s="8">
        <v>45149</v>
      </c>
      <c r="D681" s="11">
        <v>10</v>
      </c>
      <c r="E681" s="12" t="s">
        <v>11</v>
      </c>
      <c r="F681" s="6" t="s">
        <v>21</v>
      </c>
      <c r="G681" s="9" t="s">
        <v>21</v>
      </c>
      <c r="H681" s="9" t="str">
        <f t="shared" si="21"/>
        <v>NA</v>
      </c>
      <c r="I681" s="9" t="s">
        <v>38</v>
      </c>
      <c r="J681" s="9" t="s">
        <v>36</v>
      </c>
      <c r="K681" s="19" t="s">
        <v>21</v>
      </c>
      <c r="L681" s="22">
        <v>2.48</v>
      </c>
      <c r="M681" s="22">
        <v>2.2469999999999999</v>
      </c>
      <c r="N681" t="s">
        <v>16</v>
      </c>
      <c r="O681" t="s">
        <v>58</v>
      </c>
    </row>
    <row r="682" spans="1:15" ht="16" x14ac:dyDescent="0.4">
      <c r="A682">
        <v>16</v>
      </c>
      <c r="B682" t="str">
        <f t="shared" si="20"/>
        <v>2023-08-10_0001</v>
      </c>
      <c r="C682" s="8">
        <v>45148</v>
      </c>
      <c r="D682" s="11">
        <v>1</v>
      </c>
      <c r="E682" s="12" t="s">
        <v>15</v>
      </c>
      <c r="F682" s="6">
        <v>45143</v>
      </c>
      <c r="G682" s="9" t="s">
        <v>36</v>
      </c>
      <c r="H682" s="9">
        <f t="shared" si="21"/>
        <v>5</v>
      </c>
      <c r="I682" s="9" t="s">
        <v>18</v>
      </c>
      <c r="J682" s="9" t="s">
        <v>36</v>
      </c>
      <c r="K682" s="19">
        <v>44.246000000000002</v>
      </c>
      <c r="L682" s="22">
        <v>2.3780000000000001</v>
      </c>
      <c r="M682" s="22">
        <v>1.8859999999999999</v>
      </c>
      <c r="N682" t="s">
        <v>14</v>
      </c>
    </row>
    <row r="683" spans="1:15" ht="16" x14ac:dyDescent="0.4">
      <c r="A683">
        <v>16</v>
      </c>
      <c r="B683" t="str">
        <f t="shared" si="20"/>
        <v>2023-08-10_0002</v>
      </c>
      <c r="C683" s="8">
        <v>45148</v>
      </c>
      <c r="D683" s="11">
        <v>2</v>
      </c>
      <c r="E683" s="12" t="s">
        <v>15</v>
      </c>
      <c r="F683" s="6">
        <v>45125</v>
      </c>
      <c r="G683" s="9" t="s">
        <v>36</v>
      </c>
      <c r="H683" s="9">
        <f t="shared" si="21"/>
        <v>23</v>
      </c>
      <c r="I683" s="9" t="s">
        <v>38</v>
      </c>
      <c r="J683" s="9" t="s">
        <v>36</v>
      </c>
      <c r="K683" s="19">
        <v>46.652999999999999</v>
      </c>
      <c r="L683" s="22">
        <v>2.6019999999999999</v>
      </c>
      <c r="M683" s="22">
        <v>2.0529999999999999</v>
      </c>
      <c r="N683" t="s">
        <v>14</v>
      </c>
    </row>
    <row r="684" spans="1:15" ht="16" x14ac:dyDescent="0.4">
      <c r="A684">
        <v>16</v>
      </c>
      <c r="B684" t="str">
        <f t="shared" si="20"/>
        <v>2023-08-10_0003</v>
      </c>
      <c r="C684" s="8">
        <v>45148</v>
      </c>
      <c r="D684" s="11">
        <v>3</v>
      </c>
      <c r="E684" s="12" t="s">
        <v>15</v>
      </c>
      <c r="F684" s="6">
        <v>45127</v>
      </c>
      <c r="G684" s="9" t="s">
        <v>36</v>
      </c>
      <c r="H684" s="9">
        <f t="shared" si="21"/>
        <v>21</v>
      </c>
      <c r="I684" s="9" t="s">
        <v>37</v>
      </c>
      <c r="J684" s="9" t="s">
        <v>36</v>
      </c>
      <c r="K684" s="19">
        <v>42.564999999999998</v>
      </c>
      <c r="L684" s="22">
        <v>2.2570000000000001</v>
      </c>
      <c r="M684" s="22">
        <v>1.895</v>
      </c>
      <c r="N684" t="s">
        <v>14</v>
      </c>
      <c r="O684" t="s">
        <v>132</v>
      </c>
    </row>
    <row r="685" spans="1:15" ht="16" x14ac:dyDescent="0.4">
      <c r="A685">
        <v>16</v>
      </c>
      <c r="B685" t="str">
        <f t="shared" si="20"/>
        <v>2023-08-10_0004</v>
      </c>
      <c r="C685" s="8">
        <v>45148</v>
      </c>
      <c r="D685" s="11">
        <v>4</v>
      </c>
      <c r="E685" s="12" t="s">
        <v>15</v>
      </c>
      <c r="F685" s="6">
        <v>45127</v>
      </c>
      <c r="G685" s="9" t="s">
        <v>36</v>
      </c>
      <c r="H685" s="9">
        <f t="shared" si="21"/>
        <v>21</v>
      </c>
      <c r="I685" s="9" t="s">
        <v>12</v>
      </c>
      <c r="J685" s="9" t="s">
        <v>36</v>
      </c>
      <c r="K685" s="19">
        <v>41.936</v>
      </c>
      <c r="L685" s="22">
        <v>2.282</v>
      </c>
      <c r="M685" s="22">
        <v>1.8779999999999999</v>
      </c>
      <c r="N685" t="s">
        <v>14</v>
      </c>
    </row>
    <row r="686" spans="1:15" ht="16" x14ac:dyDescent="0.4">
      <c r="A686">
        <v>16</v>
      </c>
      <c r="B686" t="str">
        <f t="shared" si="20"/>
        <v>2023-08-10_0005</v>
      </c>
      <c r="C686" s="8">
        <v>45148</v>
      </c>
      <c r="D686" s="11">
        <v>5</v>
      </c>
      <c r="E686" s="12" t="s">
        <v>15</v>
      </c>
      <c r="F686" s="6" t="s">
        <v>21</v>
      </c>
      <c r="G686" s="9" t="s">
        <v>21</v>
      </c>
      <c r="H686" s="9" t="str">
        <f t="shared" si="21"/>
        <v>NA</v>
      </c>
      <c r="I686" s="9" t="s">
        <v>21</v>
      </c>
      <c r="J686" s="9" t="s">
        <v>21</v>
      </c>
      <c r="K686" s="19">
        <v>47.066000000000003</v>
      </c>
      <c r="L686" s="22">
        <v>2.556</v>
      </c>
      <c r="M686" s="22">
        <v>2.097</v>
      </c>
      <c r="N686" t="s">
        <v>14</v>
      </c>
      <c r="O686" t="s">
        <v>133</v>
      </c>
    </row>
    <row r="687" spans="1:15" ht="16" x14ac:dyDescent="0.4">
      <c r="A687">
        <v>16</v>
      </c>
      <c r="B687" t="str">
        <f t="shared" si="20"/>
        <v>2023-08-10_0006</v>
      </c>
      <c r="C687" s="8">
        <v>45148</v>
      </c>
      <c r="D687" s="11">
        <v>6</v>
      </c>
      <c r="E687" s="12" t="s">
        <v>15</v>
      </c>
      <c r="F687" s="6">
        <v>45129</v>
      </c>
      <c r="G687" s="9" t="s">
        <v>36</v>
      </c>
      <c r="H687" s="9">
        <f t="shared" si="21"/>
        <v>19</v>
      </c>
      <c r="I687" s="9" t="s">
        <v>18</v>
      </c>
      <c r="J687" s="9" t="s">
        <v>39</v>
      </c>
      <c r="K687" s="19">
        <v>39.253999999999998</v>
      </c>
      <c r="L687" s="22">
        <v>2.0720000000000001</v>
      </c>
      <c r="M687" s="22">
        <v>1.829</v>
      </c>
      <c r="N687" t="s">
        <v>14</v>
      </c>
      <c r="O687" t="s">
        <v>41</v>
      </c>
    </row>
    <row r="688" spans="1:15" ht="16" x14ac:dyDescent="0.4">
      <c r="A688">
        <v>16</v>
      </c>
      <c r="B688" t="str">
        <f t="shared" si="20"/>
        <v>2023-08-10_0007</v>
      </c>
      <c r="C688" s="8">
        <v>45148</v>
      </c>
      <c r="D688" s="11">
        <v>7</v>
      </c>
      <c r="E688" s="12" t="s">
        <v>15</v>
      </c>
      <c r="F688" s="6">
        <v>45128</v>
      </c>
      <c r="G688" s="9" t="s">
        <v>39</v>
      </c>
      <c r="H688" s="9">
        <f t="shared" si="21"/>
        <v>20</v>
      </c>
      <c r="I688" s="9" t="s">
        <v>18</v>
      </c>
      <c r="J688" s="9" t="s">
        <v>36</v>
      </c>
      <c r="K688" s="19">
        <v>41.055</v>
      </c>
      <c r="L688" s="22">
        <v>2.1970000000000001</v>
      </c>
      <c r="M688" s="22">
        <v>1.8029999999999999</v>
      </c>
      <c r="N688" t="s">
        <v>14</v>
      </c>
      <c r="O688" t="s">
        <v>40</v>
      </c>
    </row>
    <row r="689" spans="1:15" ht="16" x14ac:dyDescent="0.4">
      <c r="A689">
        <v>16</v>
      </c>
      <c r="B689" t="str">
        <f t="shared" si="20"/>
        <v>2023-08-10_0008</v>
      </c>
      <c r="C689" s="8">
        <v>45148</v>
      </c>
      <c r="D689" s="11">
        <v>8</v>
      </c>
      <c r="E689" s="12" t="s">
        <v>15</v>
      </c>
      <c r="F689" s="6">
        <v>45120</v>
      </c>
      <c r="G689" s="9" t="s">
        <v>36</v>
      </c>
      <c r="H689" s="9">
        <f t="shared" si="21"/>
        <v>28</v>
      </c>
      <c r="I689" s="9" t="s">
        <v>18</v>
      </c>
      <c r="J689" s="9" t="s">
        <v>36</v>
      </c>
      <c r="K689" s="19">
        <v>44.674999999999997</v>
      </c>
      <c r="L689" s="22">
        <v>2.4350000000000001</v>
      </c>
      <c r="M689" s="22">
        <v>1.885</v>
      </c>
      <c r="N689" t="s">
        <v>14</v>
      </c>
    </row>
    <row r="690" spans="1:15" ht="16" x14ac:dyDescent="0.4">
      <c r="A690">
        <v>17</v>
      </c>
      <c r="B690" t="str">
        <f t="shared" si="20"/>
        <v>2023-08-10_0009</v>
      </c>
      <c r="C690" s="8">
        <v>45148</v>
      </c>
      <c r="D690" s="11">
        <v>9</v>
      </c>
      <c r="E690" s="12" t="s">
        <v>11</v>
      </c>
      <c r="F690" s="6">
        <v>45127</v>
      </c>
      <c r="G690" s="9" t="s">
        <v>36</v>
      </c>
      <c r="H690" s="9">
        <f t="shared" si="21"/>
        <v>21</v>
      </c>
      <c r="I690" s="9" t="s">
        <v>37</v>
      </c>
      <c r="J690" s="9" t="s">
        <v>36</v>
      </c>
      <c r="K690" s="19">
        <v>45.406999999999996</v>
      </c>
      <c r="L690" s="22">
        <v>2.431</v>
      </c>
      <c r="M690" s="22">
        <v>1.958</v>
      </c>
      <c r="N690" t="s">
        <v>14</v>
      </c>
    </row>
    <row r="691" spans="1:15" ht="16" x14ac:dyDescent="0.4">
      <c r="A691">
        <v>17</v>
      </c>
      <c r="B691" t="str">
        <f t="shared" si="20"/>
        <v>2023-08-10_0010</v>
      </c>
      <c r="C691" s="8">
        <v>45148</v>
      </c>
      <c r="D691" s="11">
        <v>10</v>
      </c>
      <c r="E691" s="12" t="s">
        <v>15</v>
      </c>
      <c r="F691" s="6">
        <v>45120</v>
      </c>
      <c r="G691" s="9" t="s">
        <v>39</v>
      </c>
      <c r="H691" s="9">
        <f t="shared" si="21"/>
        <v>28</v>
      </c>
      <c r="I691" s="9" t="s">
        <v>12</v>
      </c>
      <c r="J691" s="9" t="s">
        <v>39</v>
      </c>
      <c r="K691" s="19">
        <v>45.62</v>
      </c>
      <c r="L691" s="22">
        <v>2.468</v>
      </c>
      <c r="M691" s="22">
        <v>2.077</v>
      </c>
      <c r="N691" t="s">
        <v>14</v>
      </c>
      <c r="O691" t="s">
        <v>126</v>
      </c>
    </row>
    <row r="692" spans="1:15" ht="16" x14ac:dyDescent="0.4">
      <c r="A692">
        <v>17</v>
      </c>
      <c r="B692" t="str">
        <f t="shared" si="20"/>
        <v>2023-08-10_0011</v>
      </c>
      <c r="C692" s="8">
        <v>45148</v>
      </c>
      <c r="D692" s="11">
        <v>11</v>
      </c>
      <c r="E692" s="12" t="s">
        <v>11</v>
      </c>
      <c r="F692" s="6">
        <v>45125</v>
      </c>
      <c r="G692" s="9" t="s">
        <v>36</v>
      </c>
      <c r="H692" s="9">
        <f t="shared" si="21"/>
        <v>23</v>
      </c>
      <c r="I692" s="9" t="s">
        <v>18</v>
      </c>
      <c r="J692" s="9" t="s">
        <v>36</v>
      </c>
      <c r="K692" s="19">
        <v>43.363</v>
      </c>
      <c r="L692" s="22">
        <v>2.3940000000000001</v>
      </c>
      <c r="M692" s="22">
        <v>1.9430000000000001</v>
      </c>
      <c r="N692" t="s">
        <v>14</v>
      </c>
    </row>
    <row r="693" spans="1:15" ht="16" x14ac:dyDescent="0.4">
      <c r="A693">
        <v>17</v>
      </c>
      <c r="B693" t="str">
        <f t="shared" si="20"/>
        <v>2023-08-10_0012</v>
      </c>
      <c r="C693" s="8">
        <v>45148</v>
      </c>
      <c r="D693" s="11">
        <v>12</v>
      </c>
      <c r="E693" s="12" t="s">
        <v>15</v>
      </c>
      <c r="F693" s="6">
        <v>45115</v>
      </c>
      <c r="G693" s="9" t="s">
        <v>39</v>
      </c>
      <c r="H693" s="9">
        <f t="shared" si="21"/>
        <v>33</v>
      </c>
      <c r="I693" s="9" t="s">
        <v>18</v>
      </c>
      <c r="J693" s="9" t="s">
        <v>39</v>
      </c>
      <c r="K693" s="19">
        <v>41.905000000000001</v>
      </c>
      <c r="L693" s="22">
        <v>2.1970000000000001</v>
      </c>
      <c r="M693" s="22">
        <v>1.889</v>
      </c>
      <c r="N693" t="s">
        <v>14</v>
      </c>
      <c r="O693" t="s">
        <v>126</v>
      </c>
    </row>
    <row r="694" spans="1:15" ht="16" x14ac:dyDescent="0.4">
      <c r="A694">
        <v>17</v>
      </c>
      <c r="B694" t="str">
        <f t="shared" si="20"/>
        <v>2023-08-10_0013</v>
      </c>
      <c r="C694" s="8">
        <v>45148</v>
      </c>
      <c r="D694" s="11">
        <v>13</v>
      </c>
      <c r="E694" s="12" t="s">
        <v>15</v>
      </c>
      <c r="F694" s="6">
        <v>45123</v>
      </c>
      <c r="G694" s="9" t="s">
        <v>36</v>
      </c>
      <c r="H694" s="9">
        <f t="shared" si="21"/>
        <v>25</v>
      </c>
      <c r="I694" s="9" t="s">
        <v>18</v>
      </c>
      <c r="J694" s="9" t="s">
        <v>36</v>
      </c>
      <c r="K694" s="19" t="s">
        <v>21</v>
      </c>
      <c r="L694" s="22">
        <v>2.536</v>
      </c>
      <c r="M694" s="22">
        <v>2.2080000000000002</v>
      </c>
      <c r="N694" t="s">
        <v>16</v>
      </c>
      <c r="O694" t="s">
        <v>87</v>
      </c>
    </row>
    <row r="695" spans="1:15" ht="16" x14ac:dyDescent="0.4">
      <c r="A695">
        <v>17</v>
      </c>
      <c r="B695" t="str">
        <f t="shared" si="20"/>
        <v>2023-08-10_0014</v>
      </c>
      <c r="C695" s="8">
        <v>45148</v>
      </c>
      <c r="D695" s="11">
        <v>14</v>
      </c>
      <c r="E695" s="12" t="s">
        <v>11</v>
      </c>
      <c r="F695" s="6">
        <v>45127</v>
      </c>
      <c r="G695" s="9" t="s">
        <v>39</v>
      </c>
      <c r="H695" s="9">
        <f t="shared" si="21"/>
        <v>21</v>
      </c>
      <c r="I695" s="9" t="s">
        <v>12</v>
      </c>
      <c r="J695" s="9" t="s">
        <v>39</v>
      </c>
      <c r="K695" s="19">
        <v>41.399000000000001</v>
      </c>
      <c r="L695" s="22">
        <v>2.274</v>
      </c>
      <c r="M695" s="22">
        <v>1.9510000000000001</v>
      </c>
      <c r="N695" t="s">
        <v>14</v>
      </c>
      <c r="O695" t="s">
        <v>85</v>
      </c>
    </row>
    <row r="696" spans="1:15" ht="16" x14ac:dyDescent="0.4">
      <c r="A696">
        <v>17</v>
      </c>
      <c r="B696" t="str">
        <f t="shared" si="20"/>
        <v>2023-08-10_0015</v>
      </c>
      <c r="C696" s="8">
        <v>45148</v>
      </c>
      <c r="D696" s="11">
        <v>15</v>
      </c>
      <c r="E696" s="12" t="s">
        <v>11</v>
      </c>
      <c r="F696" s="6">
        <v>45125</v>
      </c>
      <c r="G696" s="9" t="s">
        <v>39</v>
      </c>
      <c r="H696" s="9">
        <f t="shared" si="21"/>
        <v>23</v>
      </c>
      <c r="I696" s="9" t="s">
        <v>12</v>
      </c>
      <c r="J696" s="9" t="s">
        <v>36</v>
      </c>
      <c r="K696" s="19" t="s">
        <v>21</v>
      </c>
      <c r="L696" s="22">
        <v>2.2029999999999998</v>
      </c>
      <c r="M696" s="22">
        <v>2.113</v>
      </c>
      <c r="N696" t="s">
        <v>16</v>
      </c>
      <c r="O696" t="s">
        <v>134</v>
      </c>
    </row>
    <row r="697" spans="1:15" ht="16" x14ac:dyDescent="0.4">
      <c r="A697">
        <v>17</v>
      </c>
      <c r="B697" t="str">
        <f t="shared" si="20"/>
        <v>2023-08-10_0016</v>
      </c>
      <c r="C697" s="8">
        <v>45148</v>
      </c>
      <c r="D697" s="11">
        <v>16</v>
      </c>
      <c r="E697" s="12" t="s">
        <v>11</v>
      </c>
      <c r="F697" s="6" t="s">
        <v>21</v>
      </c>
      <c r="G697" s="9" t="s">
        <v>21</v>
      </c>
      <c r="H697" s="9" t="str">
        <f t="shared" si="21"/>
        <v>NA</v>
      </c>
      <c r="I697" s="9" t="s">
        <v>12</v>
      </c>
      <c r="J697" s="9" t="s">
        <v>36</v>
      </c>
      <c r="K697" s="19" t="s">
        <v>21</v>
      </c>
      <c r="L697" s="22">
        <v>2.5579999999999998</v>
      </c>
      <c r="M697" s="22">
        <v>2.2010000000000001</v>
      </c>
      <c r="N697" t="s">
        <v>16</v>
      </c>
      <c r="O697" t="s">
        <v>135</v>
      </c>
    </row>
    <row r="698" spans="1:15" ht="16" x14ac:dyDescent="0.4">
      <c r="A698">
        <v>15</v>
      </c>
      <c r="B698" t="str">
        <f t="shared" si="20"/>
        <v>2023-08-09_0001</v>
      </c>
      <c r="C698" s="8">
        <v>45147</v>
      </c>
      <c r="D698" s="11">
        <v>1</v>
      </c>
      <c r="E698" s="12" t="s">
        <v>11</v>
      </c>
      <c r="F698" s="6">
        <v>45138</v>
      </c>
      <c r="G698" s="9" t="s">
        <v>36</v>
      </c>
      <c r="H698" s="9">
        <f t="shared" si="21"/>
        <v>9</v>
      </c>
      <c r="I698" s="9" t="s">
        <v>37</v>
      </c>
      <c r="J698" s="9" t="s">
        <v>36</v>
      </c>
      <c r="K698" s="19">
        <v>43.302999999999997</v>
      </c>
      <c r="L698" s="22">
        <v>2.3119999999999998</v>
      </c>
      <c r="M698" s="22">
        <v>1.881</v>
      </c>
      <c r="N698" t="s">
        <v>14</v>
      </c>
    </row>
    <row r="699" spans="1:15" ht="16" x14ac:dyDescent="0.4">
      <c r="A699">
        <v>15</v>
      </c>
      <c r="B699" t="str">
        <f t="shared" si="20"/>
        <v>2023-08-09_0002</v>
      </c>
      <c r="C699" s="8">
        <v>45147</v>
      </c>
      <c r="D699" s="11">
        <v>2</v>
      </c>
      <c r="E699" s="12" t="s">
        <v>11</v>
      </c>
      <c r="F699" s="6">
        <v>45121</v>
      </c>
      <c r="G699" s="9" t="s">
        <v>36</v>
      </c>
      <c r="H699" s="9">
        <f t="shared" si="21"/>
        <v>26</v>
      </c>
      <c r="I699" s="9" t="s">
        <v>17</v>
      </c>
      <c r="J699" s="9" t="s">
        <v>36</v>
      </c>
      <c r="K699" s="19">
        <v>43.125999999999998</v>
      </c>
      <c r="L699" s="22">
        <v>2.59</v>
      </c>
      <c r="M699" s="22">
        <v>1.978</v>
      </c>
      <c r="N699" t="s">
        <v>14</v>
      </c>
      <c r="O699" t="s">
        <v>85</v>
      </c>
    </row>
    <row r="700" spans="1:15" ht="16" x14ac:dyDescent="0.4">
      <c r="A700">
        <v>15</v>
      </c>
      <c r="B700" t="str">
        <f t="shared" si="20"/>
        <v>2023-08-09_0003</v>
      </c>
      <c r="C700" s="8">
        <v>45147</v>
      </c>
      <c r="D700" s="11">
        <v>3</v>
      </c>
      <c r="E700" s="12" t="s">
        <v>15</v>
      </c>
      <c r="F700" s="6">
        <v>45122</v>
      </c>
      <c r="G700" s="9" t="s">
        <v>36</v>
      </c>
      <c r="H700" s="9">
        <f t="shared" si="21"/>
        <v>25</v>
      </c>
      <c r="I700" s="9" t="s">
        <v>38</v>
      </c>
      <c r="J700" s="9" t="s">
        <v>39</v>
      </c>
      <c r="K700" s="19">
        <v>42.313000000000002</v>
      </c>
      <c r="L700" s="22">
        <v>2.323</v>
      </c>
      <c r="M700" s="22">
        <v>1.9350000000000001</v>
      </c>
      <c r="N700" t="s">
        <v>14</v>
      </c>
      <c r="O700" t="s">
        <v>136</v>
      </c>
    </row>
    <row r="701" spans="1:15" ht="16" x14ac:dyDescent="0.4">
      <c r="A701">
        <v>15</v>
      </c>
      <c r="B701" t="str">
        <f t="shared" si="20"/>
        <v>2023-08-09_0004</v>
      </c>
      <c r="C701" s="8">
        <v>45147</v>
      </c>
      <c r="D701" s="11">
        <v>4</v>
      </c>
      <c r="E701" s="12" t="s">
        <v>11</v>
      </c>
      <c r="F701" s="6">
        <v>45107</v>
      </c>
      <c r="G701" s="9" t="s">
        <v>39</v>
      </c>
      <c r="H701" s="9">
        <f t="shared" si="21"/>
        <v>40</v>
      </c>
      <c r="I701" s="9" t="s">
        <v>38</v>
      </c>
      <c r="J701" s="9" t="s">
        <v>36</v>
      </c>
      <c r="K701" s="19">
        <v>43.664999999999999</v>
      </c>
      <c r="L701" s="22">
        <v>2.6219999999999999</v>
      </c>
      <c r="M701" s="22">
        <v>2.1949999999999998</v>
      </c>
      <c r="N701" t="s">
        <v>14</v>
      </c>
      <c r="O701" t="s">
        <v>85</v>
      </c>
    </row>
    <row r="702" spans="1:15" ht="16" x14ac:dyDescent="0.4">
      <c r="A702">
        <v>15</v>
      </c>
      <c r="B702" t="str">
        <f t="shared" si="20"/>
        <v>2023-08-09_0005</v>
      </c>
      <c r="C702" s="8">
        <v>45147</v>
      </c>
      <c r="D702" s="11">
        <v>5</v>
      </c>
      <c r="E702" s="12" t="s">
        <v>15</v>
      </c>
      <c r="F702" s="6">
        <v>45120</v>
      </c>
      <c r="G702" s="9" t="s">
        <v>36</v>
      </c>
      <c r="H702" s="9">
        <f t="shared" si="21"/>
        <v>27</v>
      </c>
      <c r="I702" s="9" t="s">
        <v>18</v>
      </c>
      <c r="J702" s="9" t="s">
        <v>36</v>
      </c>
      <c r="K702" s="19">
        <v>45.161999999999999</v>
      </c>
      <c r="L702" s="22">
        <v>2.464</v>
      </c>
      <c r="M702" s="22">
        <v>2.113</v>
      </c>
      <c r="N702" t="s">
        <v>14</v>
      </c>
    </row>
    <row r="703" spans="1:15" ht="16" x14ac:dyDescent="0.4">
      <c r="A703">
        <v>15</v>
      </c>
      <c r="B703" t="str">
        <f t="shared" si="20"/>
        <v>2023-08-09_0006</v>
      </c>
      <c r="C703" s="8">
        <v>45147</v>
      </c>
      <c r="D703" s="11">
        <v>6</v>
      </c>
      <c r="E703" s="12" t="s">
        <v>15</v>
      </c>
      <c r="F703" s="6">
        <v>45122</v>
      </c>
      <c r="G703" s="9" t="s">
        <v>36</v>
      </c>
      <c r="H703" s="9">
        <f t="shared" si="21"/>
        <v>25</v>
      </c>
      <c r="I703" s="9" t="s">
        <v>37</v>
      </c>
      <c r="J703" s="9" t="s">
        <v>36</v>
      </c>
      <c r="K703" s="19">
        <v>42.959000000000003</v>
      </c>
      <c r="L703" s="22">
        <v>2.3460000000000001</v>
      </c>
      <c r="M703" s="22">
        <v>1.968</v>
      </c>
      <c r="N703" t="s">
        <v>14</v>
      </c>
    </row>
    <row r="704" spans="1:15" ht="16" x14ac:dyDescent="0.4">
      <c r="A704">
        <v>15</v>
      </c>
      <c r="B704" t="str">
        <f t="shared" si="20"/>
        <v>2023-08-09_0007</v>
      </c>
      <c r="C704" s="8">
        <v>45147</v>
      </c>
      <c r="D704" s="11">
        <v>7</v>
      </c>
      <c r="E704" s="12" t="s">
        <v>11</v>
      </c>
      <c r="F704" s="6">
        <v>45121</v>
      </c>
      <c r="G704" s="9" t="s">
        <v>36</v>
      </c>
      <c r="H704" s="9">
        <f t="shared" si="21"/>
        <v>26</v>
      </c>
      <c r="I704" s="9" t="s">
        <v>18</v>
      </c>
      <c r="J704" s="9" t="s">
        <v>36</v>
      </c>
      <c r="K704" s="19">
        <v>41.878999999999998</v>
      </c>
      <c r="L704" s="22">
        <v>2.3330000000000002</v>
      </c>
      <c r="M704" s="22">
        <v>2.016</v>
      </c>
      <c r="N704" t="s">
        <v>14</v>
      </c>
    </row>
    <row r="705" spans="1:15" ht="16" x14ac:dyDescent="0.4">
      <c r="A705">
        <v>15</v>
      </c>
      <c r="B705" t="str">
        <f t="shared" si="20"/>
        <v>2023-08-09_0008</v>
      </c>
      <c r="C705" s="8">
        <v>45147</v>
      </c>
      <c r="D705" s="11">
        <v>8</v>
      </c>
      <c r="E705" s="12" t="s">
        <v>15</v>
      </c>
      <c r="F705" s="6">
        <v>45121</v>
      </c>
      <c r="G705" s="9" t="s">
        <v>36</v>
      </c>
      <c r="H705" s="9">
        <f t="shared" si="21"/>
        <v>26</v>
      </c>
      <c r="I705" s="9" t="s">
        <v>38</v>
      </c>
      <c r="J705" s="9" t="s">
        <v>36</v>
      </c>
      <c r="K705" s="19">
        <v>41.421999999999997</v>
      </c>
      <c r="L705" s="22">
        <v>2.3410000000000002</v>
      </c>
      <c r="M705" s="22">
        <v>1.9059999999999999</v>
      </c>
      <c r="N705" t="s">
        <v>14</v>
      </c>
    </row>
    <row r="706" spans="1:15" ht="16" x14ac:dyDescent="0.4">
      <c r="A706">
        <v>15</v>
      </c>
      <c r="B706" t="str">
        <f t="shared" ref="B706:B769" si="22">IF(ISBLANK(C706),NA(),_xlfn.CONCAT(TEXT(C706,"YYYY-MM-DD"),"_",TEXT(D706,"0000")))</f>
        <v>2023-08-09_0009</v>
      </c>
      <c r="C706" s="8">
        <v>45147</v>
      </c>
      <c r="D706" s="11">
        <v>9</v>
      </c>
      <c r="E706" s="12" t="s">
        <v>15</v>
      </c>
      <c r="F706" s="6">
        <v>45123</v>
      </c>
      <c r="G706" s="9" t="s">
        <v>36</v>
      </c>
      <c r="H706" s="9">
        <f t="shared" ref="H706:H769" si="23">IF(F706="NA","NA", DATEDIF(F706,C706,"d"))</f>
        <v>24</v>
      </c>
      <c r="I706" s="9" t="s">
        <v>12</v>
      </c>
      <c r="J706" s="9" t="s">
        <v>36</v>
      </c>
      <c r="K706" s="19">
        <v>47.996000000000002</v>
      </c>
      <c r="L706" s="22">
        <v>2.5819999999999999</v>
      </c>
      <c r="M706" s="22">
        <v>2.1320000000000001</v>
      </c>
      <c r="N706" t="s">
        <v>14</v>
      </c>
    </row>
    <row r="707" spans="1:15" ht="16" x14ac:dyDescent="0.4">
      <c r="A707">
        <v>15</v>
      </c>
      <c r="B707" t="str">
        <f t="shared" si="22"/>
        <v>2023-08-09_0010</v>
      </c>
      <c r="C707" s="8">
        <v>45147</v>
      </c>
      <c r="D707" s="11">
        <v>10</v>
      </c>
      <c r="E707" s="12" t="s">
        <v>15</v>
      </c>
      <c r="F707" s="6">
        <v>45125</v>
      </c>
      <c r="G707" s="9" t="s">
        <v>36</v>
      </c>
      <c r="H707" s="9">
        <f t="shared" si="23"/>
        <v>22</v>
      </c>
      <c r="I707" s="9" t="s">
        <v>18</v>
      </c>
      <c r="J707" s="9" t="s">
        <v>39</v>
      </c>
      <c r="K707" s="19">
        <v>45.155000000000001</v>
      </c>
      <c r="L707" s="22">
        <v>2.4700000000000002</v>
      </c>
      <c r="M707" s="22">
        <v>1.978</v>
      </c>
      <c r="N707" t="s">
        <v>14</v>
      </c>
      <c r="O707" t="s">
        <v>41</v>
      </c>
    </row>
    <row r="708" spans="1:15" ht="16" x14ac:dyDescent="0.4">
      <c r="A708">
        <v>15</v>
      </c>
      <c r="B708" t="str">
        <f t="shared" si="22"/>
        <v>2023-08-09_0011</v>
      </c>
      <c r="C708" s="8">
        <v>45147</v>
      </c>
      <c r="D708" s="11">
        <v>11</v>
      </c>
      <c r="E708" s="12" t="s">
        <v>11</v>
      </c>
      <c r="F708" s="6">
        <v>45122</v>
      </c>
      <c r="G708" s="9" t="s">
        <v>36</v>
      </c>
      <c r="H708" s="9">
        <f t="shared" si="23"/>
        <v>25</v>
      </c>
      <c r="I708" s="9" t="s">
        <v>18</v>
      </c>
      <c r="J708" s="9" t="s">
        <v>36</v>
      </c>
      <c r="K708" s="19">
        <v>47.761000000000003</v>
      </c>
      <c r="L708" s="22">
        <v>2.7010000000000001</v>
      </c>
      <c r="M708" s="22">
        <v>2.1019999999999999</v>
      </c>
      <c r="N708" t="s">
        <v>14</v>
      </c>
    </row>
    <row r="709" spans="1:15" ht="16" x14ac:dyDescent="0.4">
      <c r="A709">
        <v>15</v>
      </c>
      <c r="B709" t="str">
        <f t="shared" si="22"/>
        <v>2023-08-09_0012</v>
      </c>
      <c r="C709" s="8">
        <v>45147</v>
      </c>
      <c r="D709" s="11">
        <v>12</v>
      </c>
      <c r="E709" s="12" t="s">
        <v>15</v>
      </c>
      <c r="F709" s="6">
        <v>45122</v>
      </c>
      <c r="G709" s="9" t="s">
        <v>36</v>
      </c>
      <c r="H709" s="9">
        <f t="shared" si="23"/>
        <v>25</v>
      </c>
      <c r="I709" s="9" t="s">
        <v>18</v>
      </c>
      <c r="J709" s="9" t="s">
        <v>36</v>
      </c>
      <c r="K709" s="19">
        <v>44.811</v>
      </c>
      <c r="L709" s="22">
        <v>2.4209999999999998</v>
      </c>
      <c r="M709" s="22">
        <v>1.9890000000000001</v>
      </c>
      <c r="N709" t="s">
        <v>14</v>
      </c>
    </row>
    <row r="710" spans="1:15" ht="16" x14ac:dyDescent="0.4">
      <c r="A710">
        <v>15</v>
      </c>
      <c r="B710" t="str">
        <f t="shared" si="22"/>
        <v>2023-08-09_0013</v>
      </c>
      <c r="C710" s="8">
        <v>45147</v>
      </c>
      <c r="D710" s="11">
        <v>13</v>
      </c>
      <c r="E710" s="12" t="s">
        <v>15</v>
      </c>
      <c r="F710" s="6">
        <v>45129</v>
      </c>
      <c r="G710" s="9" t="s">
        <v>39</v>
      </c>
      <c r="H710" s="9">
        <f t="shared" si="23"/>
        <v>18</v>
      </c>
      <c r="I710" s="9" t="s">
        <v>37</v>
      </c>
      <c r="J710" s="9" t="s">
        <v>36</v>
      </c>
      <c r="K710" s="19">
        <v>47.732999999999997</v>
      </c>
      <c r="L710" s="22">
        <v>2.4849999999999999</v>
      </c>
      <c r="M710" s="22">
        <v>2.0699999999999998</v>
      </c>
      <c r="N710" t="s">
        <v>14</v>
      </c>
      <c r="O710" t="s">
        <v>20</v>
      </c>
    </row>
    <row r="711" spans="1:15" ht="16" x14ac:dyDescent="0.4">
      <c r="A711">
        <v>15</v>
      </c>
      <c r="B711" t="str">
        <f t="shared" si="22"/>
        <v>2023-08-09_0014</v>
      </c>
      <c r="C711" s="8">
        <v>45147</v>
      </c>
      <c r="D711" s="11">
        <v>14</v>
      </c>
      <c r="E711" s="12" t="s">
        <v>11</v>
      </c>
      <c r="F711" s="6">
        <v>45121</v>
      </c>
      <c r="G711" s="9" t="s">
        <v>36</v>
      </c>
      <c r="H711" s="9">
        <f t="shared" si="23"/>
        <v>26</v>
      </c>
      <c r="I711" s="9" t="s">
        <v>12</v>
      </c>
      <c r="J711" s="9" t="s">
        <v>36</v>
      </c>
      <c r="K711" s="19">
        <v>45.771999999999998</v>
      </c>
      <c r="L711" s="22">
        <v>2.5409999999999999</v>
      </c>
      <c r="M711" s="22">
        <v>2.12</v>
      </c>
      <c r="N711" t="s">
        <v>14</v>
      </c>
      <c r="O711" t="s">
        <v>55</v>
      </c>
    </row>
    <row r="712" spans="1:15" ht="16" x14ac:dyDescent="0.4">
      <c r="A712">
        <v>15</v>
      </c>
      <c r="B712" t="str">
        <f t="shared" si="22"/>
        <v>2023-08-09_0015</v>
      </c>
      <c r="C712" s="8">
        <v>45147</v>
      </c>
      <c r="D712" s="11">
        <v>15</v>
      </c>
      <c r="E712" s="12" t="s">
        <v>11</v>
      </c>
      <c r="F712" s="6">
        <v>45135</v>
      </c>
      <c r="G712" s="9" t="s">
        <v>39</v>
      </c>
      <c r="H712" s="9">
        <f t="shared" si="23"/>
        <v>12</v>
      </c>
      <c r="I712" s="9" t="s">
        <v>12</v>
      </c>
      <c r="J712" s="9" t="s">
        <v>36</v>
      </c>
      <c r="K712" s="19" t="s">
        <v>21</v>
      </c>
      <c r="L712" s="22">
        <v>2.2599999999999998</v>
      </c>
      <c r="M712" s="22">
        <v>1.927</v>
      </c>
      <c r="N712" t="s">
        <v>16</v>
      </c>
      <c r="O712" t="s">
        <v>137</v>
      </c>
    </row>
    <row r="713" spans="1:15" ht="16" x14ac:dyDescent="0.4">
      <c r="A713">
        <v>50</v>
      </c>
      <c r="B713" t="str">
        <f t="shared" si="22"/>
        <v>2023-08-08_0001</v>
      </c>
      <c r="C713" s="8">
        <v>45146</v>
      </c>
      <c r="D713" s="11">
        <v>1</v>
      </c>
      <c r="E713" s="12" t="s">
        <v>15</v>
      </c>
      <c r="F713" s="6">
        <v>45139</v>
      </c>
      <c r="G713" s="9" t="s">
        <v>36</v>
      </c>
      <c r="H713" s="9">
        <f t="shared" si="23"/>
        <v>7</v>
      </c>
      <c r="I713" s="9" t="s">
        <v>38</v>
      </c>
      <c r="J713" s="9" t="s">
        <v>36</v>
      </c>
      <c r="K713" s="19">
        <v>43.612000000000002</v>
      </c>
      <c r="L713" s="22">
        <v>2.5419999999999998</v>
      </c>
      <c r="M713" s="22">
        <v>2.121</v>
      </c>
      <c r="N713" t="s">
        <v>14</v>
      </c>
    </row>
    <row r="714" spans="1:15" ht="16" x14ac:dyDescent="0.4">
      <c r="A714">
        <v>50</v>
      </c>
      <c r="B714" t="str">
        <f t="shared" si="22"/>
        <v>2023-08-08_0002</v>
      </c>
      <c r="C714" s="8">
        <v>45146</v>
      </c>
      <c r="D714" s="11">
        <v>2</v>
      </c>
      <c r="E714" s="12" t="s">
        <v>11</v>
      </c>
      <c r="F714" s="6">
        <v>45138</v>
      </c>
      <c r="G714" s="9" t="s">
        <v>36</v>
      </c>
      <c r="H714" s="9">
        <f t="shared" si="23"/>
        <v>8</v>
      </c>
      <c r="I714" s="9" t="s">
        <v>37</v>
      </c>
      <c r="J714" s="9" t="s">
        <v>36</v>
      </c>
      <c r="K714" s="19">
        <v>41.465000000000003</v>
      </c>
      <c r="L714" s="22">
        <v>2.4620000000000002</v>
      </c>
      <c r="M714" s="22">
        <v>1.929</v>
      </c>
      <c r="N714" t="s">
        <v>14</v>
      </c>
    </row>
    <row r="715" spans="1:15" ht="16" x14ac:dyDescent="0.4">
      <c r="A715">
        <v>50</v>
      </c>
      <c r="B715" t="str">
        <f t="shared" si="22"/>
        <v>2023-08-08_0003</v>
      </c>
      <c r="C715" s="8">
        <v>45146</v>
      </c>
      <c r="D715" s="11">
        <v>3</v>
      </c>
      <c r="E715" s="12" t="s">
        <v>15</v>
      </c>
      <c r="F715" s="6">
        <v>45120</v>
      </c>
      <c r="G715" s="9" t="s">
        <v>36</v>
      </c>
      <c r="H715" s="9">
        <f t="shared" si="23"/>
        <v>26</v>
      </c>
      <c r="I715" s="9" t="s">
        <v>18</v>
      </c>
      <c r="J715" s="9" t="s">
        <v>36</v>
      </c>
      <c r="K715" s="19">
        <v>43.317999999999998</v>
      </c>
      <c r="L715" s="22">
        <v>2.4990000000000001</v>
      </c>
      <c r="M715" s="22">
        <v>2.0569999999999999</v>
      </c>
      <c r="N715" t="s">
        <v>14</v>
      </c>
    </row>
    <row r="716" spans="1:15" ht="16" x14ac:dyDescent="0.4">
      <c r="A716">
        <v>50</v>
      </c>
      <c r="B716" t="str">
        <f t="shared" si="22"/>
        <v>2023-08-08_0004</v>
      </c>
      <c r="C716" s="8">
        <v>45146</v>
      </c>
      <c r="D716" s="11">
        <v>4</v>
      </c>
      <c r="E716" s="12" t="s">
        <v>15</v>
      </c>
      <c r="F716" s="6">
        <v>45125</v>
      </c>
      <c r="G716" s="9" t="s">
        <v>36</v>
      </c>
      <c r="H716" s="9">
        <f t="shared" si="23"/>
        <v>21</v>
      </c>
      <c r="I716" s="9" t="s">
        <v>12</v>
      </c>
      <c r="J716" s="9" t="s">
        <v>36</v>
      </c>
      <c r="K716" s="19">
        <v>47.64</v>
      </c>
      <c r="L716" s="22">
        <v>2.6930000000000001</v>
      </c>
      <c r="M716" s="22">
        <v>2.1800000000000002</v>
      </c>
      <c r="N716" t="s">
        <v>14</v>
      </c>
    </row>
    <row r="717" spans="1:15" ht="16" x14ac:dyDescent="0.4">
      <c r="A717">
        <v>50</v>
      </c>
      <c r="B717" t="str">
        <f t="shared" si="22"/>
        <v>2023-08-08_0005</v>
      </c>
      <c r="C717" s="8">
        <v>45146</v>
      </c>
      <c r="D717" s="11">
        <v>5</v>
      </c>
      <c r="E717" s="12" t="s">
        <v>15</v>
      </c>
      <c r="F717" s="6">
        <v>45127</v>
      </c>
      <c r="G717" s="9" t="s">
        <v>36</v>
      </c>
      <c r="H717" s="9">
        <f t="shared" si="23"/>
        <v>19</v>
      </c>
      <c r="I717" s="9" t="s">
        <v>37</v>
      </c>
      <c r="J717" s="9" t="s">
        <v>36</v>
      </c>
      <c r="K717" s="19">
        <v>48.234000000000002</v>
      </c>
      <c r="L717" s="22">
        <v>2.573</v>
      </c>
      <c r="M717" s="22">
        <v>2.19</v>
      </c>
      <c r="N717" t="s">
        <v>14</v>
      </c>
    </row>
    <row r="718" spans="1:15" ht="16" x14ac:dyDescent="0.4">
      <c r="A718">
        <v>13</v>
      </c>
      <c r="B718" t="str">
        <f t="shared" si="22"/>
        <v>2023-08-07_0001</v>
      </c>
      <c r="C718" s="8">
        <v>45145</v>
      </c>
      <c r="D718" s="11">
        <v>1</v>
      </c>
      <c r="E718" s="12" t="s">
        <v>15</v>
      </c>
      <c r="F718" s="6">
        <v>45141</v>
      </c>
      <c r="G718" s="9" t="s">
        <v>36</v>
      </c>
      <c r="H718" s="9">
        <f t="shared" si="23"/>
        <v>4</v>
      </c>
      <c r="I718" s="9" t="s">
        <v>18</v>
      </c>
      <c r="J718" s="9" t="s">
        <v>36</v>
      </c>
      <c r="K718" s="19">
        <v>43.098999999999997</v>
      </c>
      <c r="L718" s="22">
        <v>2.258</v>
      </c>
      <c r="M718" s="22">
        <v>1.956</v>
      </c>
      <c r="N718" t="s">
        <v>14</v>
      </c>
      <c r="O718" t="s">
        <v>138</v>
      </c>
    </row>
    <row r="719" spans="1:15" ht="16" x14ac:dyDescent="0.4">
      <c r="A719">
        <v>13</v>
      </c>
      <c r="B719" t="str">
        <f t="shared" si="22"/>
        <v>2023-08-07_0002</v>
      </c>
      <c r="C719" s="8">
        <v>45145</v>
      </c>
      <c r="D719" s="11">
        <v>2</v>
      </c>
      <c r="E719" s="12" t="s">
        <v>11</v>
      </c>
      <c r="F719" s="6">
        <v>45131</v>
      </c>
      <c r="G719" s="9" t="s">
        <v>39</v>
      </c>
      <c r="H719" s="9">
        <f t="shared" si="23"/>
        <v>14</v>
      </c>
      <c r="I719" s="9" t="s">
        <v>37</v>
      </c>
      <c r="J719" s="9" t="s">
        <v>39</v>
      </c>
      <c r="K719" s="19">
        <v>44.387999999999998</v>
      </c>
      <c r="L719" s="22">
        <v>2.2989999999999999</v>
      </c>
      <c r="M719" s="22">
        <v>1.92</v>
      </c>
      <c r="N719" t="s">
        <v>14</v>
      </c>
      <c r="O719" t="s">
        <v>126</v>
      </c>
    </row>
    <row r="720" spans="1:15" ht="16" x14ac:dyDescent="0.4">
      <c r="A720">
        <v>13</v>
      </c>
      <c r="B720" t="str">
        <f t="shared" si="22"/>
        <v>2023-08-07_0003</v>
      </c>
      <c r="C720" s="8">
        <v>45145</v>
      </c>
      <c r="D720" s="11">
        <v>3</v>
      </c>
      <c r="E720" s="12" t="s">
        <v>15</v>
      </c>
      <c r="F720" s="6">
        <v>45127</v>
      </c>
      <c r="G720" s="9" t="s">
        <v>36</v>
      </c>
      <c r="H720" s="9">
        <f t="shared" si="23"/>
        <v>18</v>
      </c>
      <c r="I720" s="9" t="s">
        <v>38</v>
      </c>
      <c r="J720" s="9" t="s">
        <v>36</v>
      </c>
      <c r="K720" s="19">
        <v>42.688000000000002</v>
      </c>
      <c r="L720" s="22">
        <v>2.286</v>
      </c>
      <c r="M720" s="22">
        <v>2.0529999999999999</v>
      </c>
      <c r="N720" t="s">
        <v>14</v>
      </c>
    </row>
    <row r="721" spans="1:15" ht="16" x14ac:dyDescent="0.4">
      <c r="A721">
        <v>13</v>
      </c>
      <c r="B721" t="str">
        <f t="shared" si="22"/>
        <v>2023-08-07_0004</v>
      </c>
      <c r="C721" s="8">
        <v>45145</v>
      </c>
      <c r="D721" s="11">
        <v>4</v>
      </c>
      <c r="E721" s="12" t="s">
        <v>11</v>
      </c>
      <c r="F721" s="6">
        <v>45135</v>
      </c>
      <c r="G721" s="9" t="s">
        <v>39</v>
      </c>
      <c r="H721" s="9">
        <f t="shared" si="23"/>
        <v>10</v>
      </c>
      <c r="I721" s="9" t="s">
        <v>12</v>
      </c>
      <c r="J721" s="9" t="s">
        <v>36</v>
      </c>
      <c r="K721" s="19">
        <v>44.537999999999997</v>
      </c>
      <c r="L721" s="22">
        <v>2.5619999999999998</v>
      </c>
      <c r="M721" s="22">
        <v>2.0289999999999999</v>
      </c>
      <c r="N721" t="s">
        <v>14</v>
      </c>
      <c r="O721" t="s">
        <v>40</v>
      </c>
    </row>
    <row r="722" spans="1:15" ht="16" x14ac:dyDescent="0.4">
      <c r="A722">
        <v>13</v>
      </c>
      <c r="B722" t="str">
        <f t="shared" si="22"/>
        <v>2023-08-07_0005</v>
      </c>
      <c r="C722" s="8">
        <v>45145</v>
      </c>
      <c r="D722" s="11">
        <v>5</v>
      </c>
      <c r="E722" s="12" t="s">
        <v>15</v>
      </c>
      <c r="F722" s="6">
        <v>45108</v>
      </c>
      <c r="G722" s="9" t="s">
        <v>36</v>
      </c>
      <c r="H722" s="9">
        <f t="shared" si="23"/>
        <v>37</v>
      </c>
      <c r="I722" s="9" t="s">
        <v>12</v>
      </c>
      <c r="J722" s="9" t="s">
        <v>36</v>
      </c>
      <c r="K722" s="19">
        <v>47.235999999999997</v>
      </c>
      <c r="L722" s="22">
        <v>2.5630000000000002</v>
      </c>
      <c r="M722" s="22">
        <v>2.0840000000000001</v>
      </c>
      <c r="N722" t="s">
        <v>14</v>
      </c>
    </row>
    <row r="723" spans="1:15" ht="16" x14ac:dyDescent="0.4">
      <c r="A723">
        <v>13</v>
      </c>
      <c r="B723" t="str">
        <f t="shared" si="22"/>
        <v>2023-08-07_0006</v>
      </c>
      <c r="C723" s="8">
        <v>45145</v>
      </c>
      <c r="D723" s="11">
        <v>6</v>
      </c>
      <c r="E723" s="12" t="s">
        <v>11</v>
      </c>
      <c r="F723" s="6">
        <v>45143</v>
      </c>
      <c r="G723" s="9" t="s">
        <v>36</v>
      </c>
      <c r="H723" s="9">
        <f t="shared" si="23"/>
        <v>2</v>
      </c>
      <c r="I723" s="9" t="s">
        <v>38</v>
      </c>
      <c r="J723" s="9" t="s">
        <v>36</v>
      </c>
      <c r="K723" s="19">
        <v>43.198</v>
      </c>
      <c r="L723" s="22">
        <v>2.4289999999999998</v>
      </c>
      <c r="M723" s="22">
        <v>2.0310000000000001</v>
      </c>
      <c r="N723" t="s">
        <v>14</v>
      </c>
    </row>
    <row r="724" spans="1:15" ht="16" x14ac:dyDescent="0.4">
      <c r="A724">
        <v>13</v>
      </c>
      <c r="B724" t="str">
        <f t="shared" si="22"/>
        <v>2023-08-07_0007</v>
      </c>
      <c r="C724" s="8">
        <v>45145</v>
      </c>
      <c r="D724" s="11">
        <v>7</v>
      </c>
      <c r="E724" s="12" t="s">
        <v>11</v>
      </c>
      <c r="F724" s="6">
        <v>45131</v>
      </c>
      <c r="G724" s="9" t="s">
        <v>39</v>
      </c>
      <c r="H724" s="9">
        <f t="shared" si="23"/>
        <v>14</v>
      </c>
      <c r="I724" s="9" t="s">
        <v>12</v>
      </c>
      <c r="J724" s="9" t="s">
        <v>36</v>
      </c>
      <c r="K724" s="19">
        <v>44.606000000000002</v>
      </c>
      <c r="L724" s="22">
        <v>2.4740000000000002</v>
      </c>
      <c r="M724" s="22">
        <v>2.004</v>
      </c>
      <c r="N724" t="s">
        <v>14</v>
      </c>
      <c r="O724" t="s">
        <v>40</v>
      </c>
    </row>
    <row r="725" spans="1:15" ht="16" x14ac:dyDescent="0.4">
      <c r="A725">
        <v>14</v>
      </c>
      <c r="B725" t="str">
        <f t="shared" si="22"/>
        <v>2023-08-07_0008</v>
      </c>
      <c r="C725" s="8">
        <v>45145</v>
      </c>
      <c r="D725" s="11">
        <v>8</v>
      </c>
      <c r="E725" s="12" t="s">
        <v>15</v>
      </c>
      <c r="F725" s="6">
        <v>45120</v>
      </c>
      <c r="G725" s="9" t="s">
        <v>39</v>
      </c>
      <c r="H725" s="9">
        <f t="shared" si="23"/>
        <v>25</v>
      </c>
      <c r="I725" s="9" t="s">
        <v>18</v>
      </c>
      <c r="J725" s="9" t="s">
        <v>39</v>
      </c>
      <c r="K725" s="19">
        <v>45.975999999999999</v>
      </c>
      <c r="L725" s="22">
        <v>2.4889999999999999</v>
      </c>
      <c r="M725" s="22">
        <v>2.1339999999999999</v>
      </c>
      <c r="N725" t="s">
        <v>14</v>
      </c>
      <c r="O725" t="s">
        <v>126</v>
      </c>
    </row>
    <row r="726" spans="1:15" ht="16" x14ac:dyDescent="0.4">
      <c r="A726">
        <v>14</v>
      </c>
      <c r="B726" t="str">
        <f t="shared" si="22"/>
        <v>2023-08-07_0009</v>
      </c>
      <c r="C726" s="8">
        <v>45145</v>
      </c>
      <c r="D726" s="11">
        <v>9</v>
      </c>
      <c r="E726" s="12" t="s">
        <v>15</v>
      </c>
      <c r="F726" s="6">
        <v>45128</v>
      </c>
      <c r="G726" s="9" t="s">
        <v>36</v>
      </c>
      <c r="H726" s="9">
        <f t="shared" si="23"/>
        <v>17</v>
      </c>
      <c r="I726" s="9" t="s">
        <v>12</v>
      </c>
      <c r="J726" s="9" t="s">
        <v>36</v>
      </c>
      <c r="K726" s="19">
        <v>41.984000000000002</v>
      </c>
      <c r="L726" s="22">
        <v>2.2269999999999999</v>
      </c>
      <c r="M726" s="22">
        <v>1.9430000000000001</v>
      </c>
      <c r="N726" t="s">
        <v>14</v>
      </c>
    </row>
    <row r="727" spans="1:15" ht="16" x14ac:dyDescent="0.4">
      <c r="A727">
        <v>14</v>
      </c>
      <c r="B727" t="str">
        <f t="shared" si="22"/>
        <v>2023-08-07_0010</v>
      </c>
      <c r="C727" s="8">
        <v>45145</v>
      </c>
      <c r="D727" s="11">
        <v>10</v>
      </c>
      <c r="E727" s="12" t="s">
        <v>15</v>
      </c>
      <c r="F727" s="6">
        <v>45127</v>
      </c>
      <c r="G727" s="9" t="s">
        <v>36</v>
      </c>
      <c r="H727" s="9">
        <f t="shared" si="23"/>
        <v>18</v>
      </c>
      <c r="I727" s="9" t="s">
        <v>38</v>
      </c>
      <c r="J727" s="9" t="s">
        <v>36</v>
      </c>
      <c r="K727" s="19" t="s">
        <v>21</v>
      </c>
      <c r="L727" s="22">
        <v>2.137</v>
      </c>
      <c r="M727" s="22">
        <v>1.8089999999999999</v>
      </c>
      <c r="N727" t="s">
        <v>16</v>
      </c>
      <c r="O727" t="s">
        <v>87</v>
      </c>
    </row>
    <row r="728" spans="1:15" ht="16" x14ac:dyDescent="0.4">
      <c r="A728">
        <v>14</v>
      </c>
      <c r="B728" t="str">
        <f t="shared" si="22"/>
        <v>2023-08-07_0011</v>
      </c>
      <c r="C728" s="8">
        <v>45145</v>
      </c>
      <c r="D728" s="11">
        <v>11</v>
      </c>
      <c r="E728" s="12" t="s">
        <v>11</v>
      </c>
      <c r="F728" s="6">
        <v>45123</v>
      </c>
      <c r="G728" s="9" t="s">
        <v>36</v>
      </c>
      <c r="H728" s="9">
        <f t="shared" si="23"/>
        <v>22</v>
      </c>
      <c r="I728" s="9" t="s">
        <v>37</v>
      </c>
      <c r="J728" s="9" t="s">
        <v>36</v>
      </c>
      <c r="K728" s="19" t="s">
        <v>21</v>
      </c>
      <c r="L728" s="22">
        <v>2.6909999999999998</v>
      </c>
      <c r="M728" s="22">
        <v>2.1800000000000002</v>
      </c>
      <c r="N728" t="s">
        <v>16</v>
      </c>
      <c r="O728" t="s">
        <v>87</v>
      </c>
    </row>
    <row r="729" spans="1:15" ht="16" x14ac:dyDescent="0.4">
      <c r="A729">
        <v>11</v>
      </c>
      <c r="B729" t="str">
        <f t="shared" si="22"/>
        <v>2023-08-06_0001</v>
      </c>
      <c r="C729" s="8">
        <v>45144</v>
      </c>
      <c r="D729" s="11">
        <v>1</v>
      </c>
      <c r="E729" s="12" t="s">
        <v>15</v>
      </c>
      <c r="F729" s="6">
        <v>45125</v>
      </c>
      <c r="G729" s="9" t="s">
        <v>36</v>
      </c>
      <c r="H729" s="9">
        <f t="shared" si="23"/>
        <v>19</v>
      </c>
      <c r="I729" s="9" t="s">
        <v>18</v>
      </c>
      <c r="J729" s="9" t="s">
        <v>36</v>
      </c>
      <c r="K729" s="19">
        <v>45.709000000000003</v>
      </c>
      <c r="L729" s="22">
        <v>2.4529999999999998</v>
      </c>
      <c r="M729" s="22">
        <v>2.0379999999999998</v>
      </c>
      <c r="N729" t="s">
        <v>14</v>
      </c>
    </row>
    <row r="730" spans="1:15" ht="16" x14ac:dyDescent="0.4">
      <c r="A730">
        <v>11</v>
      </c>
      <c r="B730" t="str">
        <f t="shared" si="22"/>
        <v>2023-08-06_0002</v>
      </c>
      <c r="C730" s="8">
        <v>45144</v>
      </c>
      <c r="D730" s="11">
        <v>2</v>
      </c>
      <c r="E730" s="12" t="s">
        <v>11</v>
      </c>
      <c r="F730" s="6">
        <v>45123</v>
      </c>
      <c r="G730" s="9" t="s">
        <v>36</v>
      </c>
      <c r="H730" s="9">
        <f t="shared" si="23"/>
        <v>21</v>
      </c>
      <c r="I730" s="9" t="s">
        <v>18</v>
      </c>
      <c r="J730" s="9" t="s">
        <v>36</v>
      </c>
      <c r="K730" s="19">
        <v>45.219000000000001</v>
      </c>
      <c r="L730" s="22">
        <v>2.5099999999999998</v>
      </c>
      <c r="M730" s="22">
        <v>1.9319999999999999</v>
      </c>
      <c r="N730" t="s">
        <v>14</v>
      </c>
    </row>
    <row r="731" spans="1:15" ht="16" x14ac:dyDescent="0.4">
      <c r="A731">
        <v>11</v>
      </c>
      <c r="B731" t="str">
        <f t="shared" si="22"/>
        <v>2023-08-06_0003</v>
      </c>
      <c r="C731" s="8">
        <v>45144</v>
      </c>
      <c r="D731" s="11">
        <v>3</v>
      </c>
      <c r="E731" s="12" t="s">
        <v>15</v>
      </c>
      <c r="F731" s="6">
        <v>45126</v>
      </c>
      <c r="G731" s="9" t="s">
        <v>39</v>
      </c>
      <c r="H731" s="9">
        <f t="shared" si="23"/>
        <v>18</v>
      </c>
      <c r="I731" s="9" t="s">
        <v>37</v>
      </c>
      <c r="J731" s="9" t="s">
        <v>36</v>
      </c>
      <c r="K731" s="19">
        <v>42.954999999999998</v>
      </c>
      <c r="L731" s="22">
        <v>2.3050000000000002</v>
      </c>
      <c r="M731" s="22">
        <v>1.9570000000000001</v>
      </c>
      <c r="N731" t="s">
        <v>14</v>
      </c>
      <c r="O731" t="s">
        <v>139</v>
      </c>
    </row>
    <row r="732" spans="1:15" ht="16" x14ac:dyDescent="0.4">
      <c r="A732">
        <v>11</v>
      </c>
      <c r="B732" t="str">
        <f t="shared" si="22"/>
        <v>2023-08-06_0004</v>
      </c>
      <c r="C732" s="8">
        <v>45144</v>
      </c>
      <c r="D732" s="11">
        <v>4</v>
      </c>
      <c r="E732" s="12" t="s">
        <v>11</v>
      </c>
      <c r="F732" s="6">
        <v>45128</v>
      </c>
      <c r="G732" s="9" t="s">
        <v>36</v>
      </c>
      <c r="H732" s="9">
        <f t="shared" si="23"/>
        <v>16</v>
      </c>
      <c r="I732" s="9" t="s">
        <v>12</v>
      </c>
      <c r="J732" s="9" t="s">
        <v>36</v>
      </c>
      <c r="K732" s="19">
        <v>40.375</v>
      </c>
      <c r="L732" s="22">
        <v>2.2330000000000001</v>
      </c>
      <c r="M732" s="22">
        <v>1.7050000000000001</v>
      </c>
      <c r="N732" t="s">
        <v>14</v>
      </c>
    </row>
    <row r="733" spans="1:15" ht="16" x14ac:dyDescent="0.4">
      <c r="A733">
        <v>11</v>
      </c>
      <c r="B733" t="str">
        <f t="shared" si="22"/>
        <v>2023-08-06_0005</v>
      </c>
      <c r="C733" s="8">
        <v>45144</v>
      </c>
      <c r="D733" s="11">
        <v>5</v>
      </c>
      <c r="E733" s="12" t="s">
        <v>15</v>
      </c>
      <c r="F733" s="6">
        <v>45123</v>
      </c>
      <c r="G733" s="9" t="s">
        <v>39</v>
      </c>
      <c r="H733" s="9">
        <f t="shared" si="23"/>
        <v>21</v>
      </c>
      <c r="I733" s="9" t="s">
        <v>37</v>
      </c>
      <c r="J733" s="9" t="s">
        <v>36</v>
      </c>
      <c r="K733" s="19">
        <v>45.893999999999998</v>
      </c>
      <c r="L733" s="22">
        <v>2.403</v>
      </c>
      <c r="M733" s="22">
        <v>2.024</v>
      </c>
      <c r="N733" t="s">
        <v>14</v>
      </c>
      <c r="O733" t="s">
        <v>40</v>
      </c>
    </row>
    <row r="734" spans="1:15" ht="16" x14ac:dyDescent="0.4">
      <c r="A734">
        <v>11</v>
      </c>
      <c r="B734" t="str">
        <f t="shared" si="22"/>
        <v>2023-08-06_0006</v>
      </c>
      <c r="C734" s="8">
        <v>45144</v>
      </c>
      <c r="D734" s="11">
        <v>6</v>
      </c>
      <c r="E734" s="12" t="s">
        <v>11</v>
      </c>
      <c r="F734" s="6">
        <v>45123</v>
      </c>
      <c r="G734" s="9" t="s">
        <v>39</v>
      </c>
      <c r="H734" s="9">
        <f t="shared" si="23"/>
        <v>21</v>
      </c>
      <c r="I734" s="9" t="s">
        <v>37</v>
      </c>
      <c r="J734" s="9" t="s">
        <v>36</v>
      </c>
      <c r="K734" s="19">
        <v>46.116</v>
      </c>
      <c r="L734" s="22">
        <v>2.5990000000000002</v>
      </c>
      <c r="M734" s="22">
        <v>2.1160000000000001</v>
      </c>
      <c r="N734" t="s">
        <v>14</v>
      </c>
      <c r="O734" t="s">
        <v>40</v>
      </c>
    </row>
    <row r="735" spans="1:15" ht="16" x14ac:dyDescent="0.4">
      <c r="A735">
        <v>11</v>
      </c>
      <c r="B735" t="str">
        <f t="shared" si="22"/>
        <v>2023-08-06_0007</v>
      </c>
      <c r="C735" s="8">
        <v>45144</v>
      </c>
      <c r="D735" s="11">
        <v>7</v>
      </c>
      <c r="E735" s="12" t="s">
        <v>15</v>
      </c>
      <c r="F735" s="6">
        <v>45127</v>
      </c>
      <c r="G735" s="9" t="s">
        <v>36</v>
      </c>
      <c r="H735" s="9">
        <f t="shared" si="23"/>
        <v>17</v>
      </c>
      <c r="I735" s="9" t="s">
        <v>12</v>
      </c>
      <c r="J735" s="9" t="s">
        <v>36</v>
      </c>
      <c r="K735" s="19">
        <v>42.094999999999999</v>
      </c>
      <c r="L735" s="22">
        <v>2.278</v>
      </c>
      <c r="M735" s="22">
        <v>1.8480000000000001</v>
      </c>
      <c r="N735" t="s">
        <v>14</v>
      </c>
    </row>
    <row r="736" spans="1:15" ht="16" x14ac:dyDescent="0.4">
      <c r="A736">
        <v>11</v>
      </c>
      <c r="B736" t="str">
        <f t="shared" si="22"/>
        <v>2023-08-06_0008</v>
      </c>
      <c r="C736" s="8">
        <v>45144</v>
      </c>
      <c r="D736" s="11">
        <v>8</v>
      </c>
      <c r="E736" s="12" t="s">
        <v>11</v>
      </c>
      <c r="F736" s="6">
        <v>45122</v>
      </c>
      <c r="G736" s="9" t="s">
        <v>36</v>
      </c>
      <c r="H736" s="9">
        <f t="shared" si="23"/>
        <v>22</v>
      </c>
      <c r="I736" s="9" t="s">
        <v>12</v>
      </c>
      <c r="J736" s="9" t="s">
        <v>36</v>
      </c>
      <c r="K736" s="19">
        <v>43.948999999999998</v>
      </c>
      <c r="L736" s="22">
        <v>2.5129999999999999</v>
      </c>
      <c r="M736" s="22">
        <v>2.0720000000000001</v>
      </c>
      <c r="N736" t="s">
        <v>14</v>
      </c>
    </row>
    <row r="737" spans="1:15" ht="16" x14ac:dyDescent="0.4">
      <c r="A737">
        <v>11</v>
      </c>
      <c r="B737" t="str">
        <f t="shared" si="22"/>
        <v>2023-08-06_0009</v>
      </c>
      <c r="C737" s="8">
        <v>45144</v>
      </c>
      <c r="D737" s="11">
        <v>9</v>
      </c>
      <c r="E737" s="12" t="s">
        <v>11</v>
      </c>
      <c r="F737" s="6">
        <v>45136</v>
      </c>
      <c r="G737" s="9" t="s">
        <v>39</v>
      </c>
      <c r="H737" s="9">
        <f t="shared" si="23"/>
        <v>8</v>
      </c>
      <c r="I737" s="9" t="s">
        <v>17</v>
      </c>
      <c r="J737" s="9" t="s">
        <v>36</v>
      </c>
      <c r="K737" s="19">
        <v>42.052</v>
      </c>
      <c r="L737" s="22">
        <v>2.331</v>
      </c>
      <c r="M737" s="22">
        <v>1.867</v>
      </c>
      <c r="N737" t="s">
        <v>14</v>
      </c>
      <c r="O737" t="s">
        <v>40</v>
      </c>
    </row>
    <row r="738" spans="1:15" ht="16" x14ac:dyDescent="0.4">
      <c r="A738">
        <v>11</v>
      </c>
      <c r="B738" t="str">
        <f t="shared" si="22"/>
        <v>2023-08-06_0010</v>
      </c>
      <c r="C738" s="8">
        <v>45144</v>
      </c>
      <c r="D738" s="11">
        <v>10</v>
      </c>
      <c r="E738" s="12" t="s">
        <v>15</v>
      </c>
      <c r="F738" s="6">
        <v>45126</v>
      </c>
      <c r="G738" s="9" t="s">
        <v>36</v>
      </c>
      <c r="H738" s="9">
        <f t="shared" si="23"/>
        <v>18</v>
      </c>
      <c r="I738" s="9" t="s">
        <v>12</v>
      </c>
      <c r="J738" s="9" t="s">
        <v>36</v>
      </c>
      <c r="K738" s="19">
        <v>43.87</v>
      </c>
      <c r="L738" s="22">
        <v>2.3839999999999999</v>
      </c>
      <c r="M738" s="22">
        <v>1.9910000000000001</v>
      </c>
      <c r="N738" t="s">
        <v>14</v>
      </c>
    </row>
    <row r="739" spans="1:15" ht="16" x14ac:dyDescent="0.4">
      <c r="A739">
        <v>11</v>
      </c>
      <c r="B739" t="str">
        <f t="shared" si="22"/>
        <v>2023-08-06_0011</v>
      </c>
      <c r="C739" s="8">
        <v>45144</v>
      </c>
      <c r="D739" s="11">
        <v>11</v>
      </c>
      <c r="E739" s="12" t="s">
        <v>11</v>
      </c>
      <c r="F739" s="6">
        <v>45129</v>
      </c>
      <c r="G739" s="9" t="s">
        <v>36</v>
      </c>
      <c r="H739" s="9">
        <f t="shared" si="23"/>
        <v>15</v>
      </c>
      <c r="I739" s="9" t="s">
        <v>17</v>
      </c>
      <c r="J739" s="9" t="s">
        <v>36</v>
      </c>
      <c r="K739" s="19">
        <v>44.4</v>
      </c>
      <c r="L739" s="22">
        <v>2.3740000000000001</v>
      </c>
      <c r="M739" s="22">
        <v>1.8660000000000001</v>
      </c>
      <c r="N739" t="s">
        <v>14</v>
      </c>
      <c r="O739" t="s">
        <v>42</v>
      </c>
    </row>
    <row r="740" spans="1:15" ht="16" x14ac:dyDescent="0.4">
      <c r="A740">
        <v>12</v>
      </c>
      <c r="B740" t="str">
        <f t="shared" si="22"/>
        <v>2023-08-06_0012</v>
      </c>
      <c r="C740" s="8">
        <v>45144</v>
      </c>
      <c r="D740" s="11">
        <v>12</v>
      </c>
      <c r="E740" s="12" t="s">
        <v>11</v>
      </c>
      <c r="F740" s="6">
        <v>45109</v>
      </c>
      <c r="G740" s="9" t="s">
        <v>36</v>
      </c>
      <c r="H740" s="9">
        <f t="shared" si="23"/>
        <v>35</v>
      </c>
      <c r="I740" s="9" t="s">
        <v>12</v>
      </c>
      <c r="J740" s="9" t="s">
        <v>36</v>
      </c>
      <c r="K740" s="19" t="s">
        <v>21</v>
      </c>
      <c r="L740" s="22">
        <v>2.7810000000000001</v>
      </c>
      <c r="M740" s="22">
        <v>2.2639999999999998</v>
      </c>
      <c r="N740" t="s">
        <v>16</v>
      </c>
      <c r="O740" t="s">
        <v>87</v>
      </c>
    </row>
    <row r="741" spans="1:15" ht="16" x14ac:dyDescent="0.4">
      <c r="A741">
        <v>12</v>
      </c>
      <c r="B741" t="str">
        <f t="shared" si="22"/>
        <v>2023-08-06_0013</v>
      </c>
      <c r="C741" s="8">
        <v>45144</v>
      </c>
      <c r="D741" s="11">
        <v>13</v>
      </c>
      <c r="E741" s="12" t="s">
        <v>11</v>
      </c>
      <c r="F741" s="6">
        <v>45123</v>
      </c>
      <c r="G741" s="9" t="s">
        <v>36</v>
      </c>
      <c r="H741" s="9">
        <f t="shared" si="23"/>
        <v>21</v>
      </c>
      <c r="I741" s="9" t="s">
        <v>12</v>
      </c>
      <c r="J741" s="9" t="s">
        <v>36</v>
      </c>
      <c r="K741" s="19">
        <v>45.636000000000003</v>
      </c>
      <c r="L741" s="22">
        <v>2.617</v>
      </c>
      <c r="M741" s="22">
        <v>2.0910000000000002</v>
      </c>
      <c r="N741" t="s">
        <v>14</v>
      </c>
      <c r="O741" t="s">
        <v>85</v>
      </c>
    </row>
    <row r="742" spans="1:15" ht="16" x14ac:dyDescent="0.4">
      <c r="A742">
        <v>12</v>
      </c>
      <c r="B742" t="str">
        <f t="shared" si="22"/>
        <v>2023-08-06_0014</v>
      </c>
      <c r="C742" s="8">
        <v>45144</v>
      </c>
      <c r="D742" s="11">
        <v>14</v>
      </c>
      <c r="E742" s="12" t="s">
        <v>15</v>
      </c>
      <c r="F742" s="6">
        <v>45129</v>
      </c>
      <c r="G742" s="9" t="s">
        <v>39</v>
      </c>
      <c r="H742" s="9">
        <f t="shared" si="23"/>
        <v>15</v>
      </c>
      <c r="I742" s="9" t="s">
        <v>140</v>
      </c>
      <c r="J742" s="9" t="s">
        <v>36</v>
      </c>
      <c r="K742" s="19" t="s">
        <v>21</v>
      </c>
      <c r="L742" s="22">
        <v>2.2959999999999998</v>
      </c>
      <c r="M742" s="22">
        <v>1.708</v>
      </c>
      <c r="N742" t="s">
        <v>16</v>
      </c>
      <c r="O742" t="s">
        <v>85</v>
      </c>
    </row>
    <row r="743" spans="1:15" ht="16" x14ac:dyDescent="0.4">
      <c r="B743" t="str">
        <f t="shared" si="22"/>
        <v>2023-08-05_0001</v>
      </c>
      <c r="C743" s="8">
        <v>45143</v>
      </c>
      <c r="D743" s="11">
        <v>1</v>
      </c>
      <c r="E743" s="12" t="s">
        <v>11</v>
      </c>
      <c r="F743" s="6">
        <v>45123</v>
      </c>
      <c r="G743" s="8" t="s">
        <v>36</v>
      </c>
      <c r="H743" s="10">
        <f t="shared" si="23"/>
        <v>20</v>
      </c>
      <c r="I743" s="9" t="s">
        <v>12</v>
      </c>
      <c r="J743" s="9" t="s">
        <v>36</v>
      </c>
      <c r="K743" s="19">
        <v>46.411999999999999</v>
      </c>
      <c r="L743" s="22">
        <v>2.0699999999999998</v>
      </c>
      <c r="M743" s="22">
        <v>1.6950000000000001</v>
      </c>
      <c r="N743" t="s">
        <v>14</v>
      </c>
    </row>
    <row r="744" spans="1:15" ht="16" x14ac:dyDescent="0.4">
      <c r="B744" t="str">
        <f t="shared" si="22"/>
        <v>2023-08-05_0002</v>
      </c>
      <c r="C744" s="8">
        <v>45143</v>
      </c>
      <c r="D744" s="11">
        <v>2</v>
      </c>
      <c r="E744" s="12" t="s">
        <v>15</v>
      </c>
      <c r="F744" s="6">
        <v>45138</v>
      </c>
      <c r="G744" s="8" t="s">
        <v>36</v>
      </c>
      <c r="H744" s="10">
        <f t="shared" si="23"/>
        <v>5</v>
      </c>
      <c r="I744" s="9" t="s">
        <v>12</v>
      </c>
      <c r="J744" s="9" t="s">
        <v>36</v>
      </c>
      <c r="K744" s="19">
        <v>44.78</v>
      </c>
      <c r="L744" s="22">
        <v>1.8959999999999999</v>
      </c>
      <c r="M744" s="22">
        <v>1.502</v>
      </c>
      <c r="N744" t="s">
        <v>14</v>
      </c>
    </row>
    <row r="745" spans="1:15" ht="16" x14ac:dyDescent="0.4">
      <c r="B745" t="str">
        <f t="shared" si="22"/>
        <v>2023-08-05_0003</v>
      </c>
      <c r="C745" s="8">
        <v>45143</v>
      </c>
      <c r="D745" s="11">
        <v>3</v>
      </c>
      <c r="E745" s="12" t="s">
        <v>15</v>
      </c>
      <c r="F745" s="6">
        <v>45129</v>
      </c>
      <c r="G745" s="8" t="s">
        <v>36</v>
      </c>
      <c r="H745" s="10">
        <f t="shared" si="23"/>
        <v>14</v>
      </c>
      <c r="I745" s="9" t="s">
        <v>17</v>
      </c>
      <c r="J745" s="9" t="s">
        <v>36</v>
      </c>
      <c r="K745" s="19">
        <v>44.484000000000002</v>
      </c>
      <c r="L745" s="22">
        <v>1.8959999999999999</v>
      </c>
      <c r="M745" s="22">
        <v>1.617</v>
      </c>
      <c r="N745" t="s">
        <v>14</v>
      </c>
    </row>
    <row r="746" spans="1:15" ht="16" x14ac:dyDescent="0.4">
      <c r="B746" t="str">
        <f t="shared" si="22"/>
        <v>2023-08-05_0004</v>
      </c>
      <c r="C746" s="8">
        <v>45143</v>
      </c>
      <c r="D746" s="11">
        <v>4</v>
      </c>
      <c r="E746" s="12" t="s">
        <v>15</v>
      </c>
      <c r="F746" s="6">
        <v>45112</v>
      </c>
      <c r="G746" s="8" t="s">
        <v>36</v>
      </c>
      <c r="H746" s="10">
        <f t="shared" si="23"/>
        <v>31</v>
      </c>
      <c r="I746" s="9" t="s">
        <v>18</v>
      </c>
      <c r="J746" s="9" t="s">
        <v>36</v>
      </c>
      <c r="K746" s="19">
        <v>45.743000000000002</v>
      </c>
      <c r="L746" s="22">
        <v>2.2400000000000002</v>
      </c>
      <c r="M746" s="22">
        <v>1.8169999999999999</v>
      </c>
      <c r="N746" t="s">
        <v>14</v>
      </c>
    </row>
    <row r="747" spans="1:15" ht="16" x14ac:dyDescent="0.4">
      <c r="B747" t="str">
        <f t="shared" si="22"/>
        <v>2023-08-05_0005</v>
      </c>
      <c r="C747" s="8">
        <v>45143</v>
      </c>
      <c r="D747" s="11">
        <v>5</v>
      </c>
      <c r="E747" s="12" t="s">
        <v>15</v>
      </c>
      <c r="F747" s="6">
        <v>45127</v>
      </c>
      <c r="G747" s="8" t="s">
        <v>36</v>
      </c>
      <c r="H747" s="10">
        <f t="shared" si="23"/>
        <v>16</v>
      </c>
      <c r="I747" s="9" t="s">
        <v>17</v>
      </c>
      <c r="J747" s="9" t="s">
        <v>36</v>
      </c>
      <c r="K747" s="19">
        <v>45.438000000000002</v>
      </c>
      <c r="L747" s="22">
        <v>2.044</v>
      </c>
      <c r="M747" s="22">
        <v>1.7090000000000001</v>
      </c>
      <c r="N747" t="s">
        <v>14</v>
      </c>
    </row>
    <row r="748" spans="1:15" ht="16" x14ac:dyDescent="0.4">
      <c r="B748" t="str">
        <f t="shared" si="22"/>
        <v>2023-08-05_0006</v>
      </c>
      <c r="C748" s="8">
        <v>45143</v>
      </c>
      <c r="D748" s="11">
        <v>6</v>
      </c>
      <c r="E748" s="12" t="s">
        <v>15</v>
      </c>
      <c r="F748" s="6">
        <v>45101</v>
      </c>
      <c r="G748" s="8" t="s">
        <v>39</v>
      </c>
      <c r="H748" s="10">
        <f t="shared" si="23"/>
        <v>42</v>
      </c>
      <c r="I748" s="9" t="s">
        <v>17</v>
      </c>
      <c r="J748" s="9" t="s">
        <v>36</v>
      </c>
      <c r="K748" s="19">
        <v>49.546999999999997</v>
      </c>
      <c r="L748" s="22">
        <v>2.38</v>
      </c>
      <c r="M748" s="22">
        <v>1.921</v>
      </c>
      <c r="N748" t="s">
        <v>14</v>
      </c>
      <c r="O748" t="s">
        <v>20</v>
      </c>
    </row>
    <row r="749" spans="1:15" ht="16" x14ac:dyDescent="0.4">
      <c r="B749" t="str">
        <f t="shared" si="22"/>
        <v>2023-08-05_0007</v>
      </c>
      <c r="C749" s="8">
        <v>45143</v>
      </c>
      <c r="D749" s="11">
        <v>7</v>
      </c>
      <c r="E749" s="12" t="s">
        <v>15</v>
      </c>
      <c r="F749" s="6">
        <v>45127</v>
      </c>
      <c r="G749" s="8" t="s">
        <v>36</v>
      </c>
      <c r="H749" s="10">
        <f t="shared" si="23"/>
        <v>16</v>
      </c>
      <c r="I749" s="9" t="s">
        <v>17</v>
      </c>
      <c r="J749" s="9" t="s">
        <v>36</v>
      </c>
      <c r="K749" s="19">
        <v>47.829000000000001</v>
      </c>
      <c r="L749" s="22">
        <v>2.2330000000000001</v>
      </c>
      <c r="M749" s="22">
        <v>1.78</v>
      </c>
      <c r="N749" t="s">
        <v>14</v>
      </c>
    </row>
    <row r="750" spans="1:15" ht="16" x14ac:dyDescent="0.4">
      <c r="B750" t="str">
        <f t="shared" si="22"/>
        <v>2023-08-05_0008</v>
      </c>
      <c r="C750" s="8">
        <v>45143</v>
      </c>
      <c r="D750" s="11">
        <v>8</v>
      </c>
      <c r="E750" s="12" t="s">
        <v>11</v>
      </c>
      <c r="F750" s="6">
        <v>45104</v>
      </c>
      <c r="G750" s="8" t="s">
        <v>36</v>
      </c>
      <c r="H750" s="10">
        <f t="shared" si="23"/>
        <v>39</v>
      </c>
      <c r="I750" s="9" t="s">
        <v>12</v>
      </c>
      <c r="J750" s="9" t="s">
        <v>36</v>
      </c>
      <c r="K750" s="19" t="s">
        <v>21</v>
      </c>
      <c r="L750" s="22">
        <v>2.1520000000000001</v>
      </c>
      <c r="M750" s="22">
        <v>1.8129999999999999</v>
      </c>
      <c r="N750" t="s">
        <v>16</v>
      </c>
    </row>
    <row r="751" spans="1:15" ht="16" x14ac:dyDescent="0.4">
      <c r="B751" t="str">
        <f t="shared" si="22"/>
        <v>2023-08-05_0009</v>
      </c>
      <c r="C751" s="8">
        <v>45143</v>
      </c>
      <c r="D751" s="11">
        <v>9</v>
      </c>
      <c r="E751" s="12" t="s">
        <v>11</v>
      </c>
      <c r="F751" s="6" t="s">
        <v>21</v>
      </c>
      <c r="G751" s="8" t="s">
        <v>21</v>
      </c>
      <c r="H751" s="10" t="str">
        <f t="shared" si="23"/>
        <v>NA</v>
      </c>
      <c r="I751" s="9" t="s">
        <v>12</v>
      </c>
      <c r="J751" s="9" t="s">
        <v>36</v>
      </c>
      <c r="K751" s="19">
        <v>43.06</v>
      </c>
      <c r="L751" s="22">
        <v>2.16</v>
      </c>
      <c r="M751" s="22">
        <v>1.7749999999999999</v>
      </c>
      <c r="N751" t="s">
        <v>14</v>
      </c>
      <c r="O751" t="s">
        <v>22</v>
      </c>
    </row>
    <row r="752" spans="1:15" ht="16" x14ac:dyDescent="0.4">
      <c r="B752" t="str">
        <f t="shared" si="22"/>
        <v>2023-08-05_0010</v>
      </c>
      <c r="C752" s="8">
        <v>45143</v>
      </c>
      <c r="D752" s="11">
        <v>10</v>
      </c>
      <c r="E752" s="12" t="s">
        <v>15</v>
      </c>
      <c r="F752" s="6">
        <v>45131</v>
      </c>
      <c r="G752" s="8" t="s">
        <v>36</v>
      </c>
      <c r="H752" s="10">
        <f t="shared" si="23"/>
        <v>12</v>
      </c>
      <c r="I752" s="9" t="s">
        <v>12</v>
      </c>
      <c r="J752" s="9" t="s">
        <v>36</v>
      </c>
      <c r="K752" s="19">
        <v>43.256</v>
      </c>
      <c r="L752" s="22">
        <v>1.921</v>
      </c>
      <c r="M752" s="22">
        <v>1.7</v>
      </c>
      <c r="N752" t="s">
        <v>14</v>
      </c>
    </row>
    <row r="753" spans="1:15" ht="16" x14ac:dyDescent="0.4">
      <c r="B753" t="str">
        <f t="shared" si="22"/>
        <v>2023-08-05_0011</v>
      </c>
      <c r="C753" s="8">
        <v>45143</v>
      </c>
      <c r="D753" s="11">
        <v>11</v>
      </c>
      <c r="E753" s="12" t="s">
        <v>11</v>
      </c>
      <c r="F753" s="6">
        <v>45104</v>
      </c>
      <c r="G753" s="8" t="s">
        <v>36</v>
      </c>
      <c r="H753" s="10">
        <f t="shared" si="23"/>
        <v>39</v>
      </c>
      <c r="I753" s="9" t="s">
        <v>18</v>
      </c>
      <c r="J753" s="9" t="s">
        <v>36</v>
      </c>
      <c r="K753" s="19">
        <v>46.975999999999999</v>
      </c>
      <c r="L753" s="22">
        <v>2.5579999999999998</v>
      </c>
      <c r="M753" s="22">
        <v>2.0139999999999998</v>
      </c>
      <c r="N753" t="s">
        <v>14</v>
      </c>
    </row>
    <row r="754" spans="1:15" ht="16" x14ac:dyDescent="0.4">
      <c r="B754" t="str">
        <f t="shared" si="22"/>
        <v>2023-08-05_0012</v>
      </c>
      <c r="C754" s="8">
        <v>45143</v>
      </c>
      <c r="D754" s="11">
        <v>12</v>
      </c>
      <c r="E754" s="12" t="s">
        <v>11</v>
      </c>
      <c r="F754" s="6">
        <v>45104</v>
      </c>
      <c r="G754" s="8" t="s">
        <v>36</v>
      </c>
      <c r="H754" s="10">
        <f t="shared" si="23"/>
        <v>39</v>
      </c>
      <c r="I754" s="9" t="s">
        <v>12</v>
      </c>
      <c r="J754" s="9" t="s">
        <v>36</v>
      </c>
      <c r="K754" s="19">
        <v>44.912999999999997</v>
      </c>
      <c r="L754" s="22">
        <v>2.5630000000000002</v>
      </c>
      <c r="M754" s="22">
        <v>1.9650000000000001</v>
      </c>
      <c r="N754" t="s">
        <v>14</v>
      </c>
    </row>
    <row r="755" spans="1:15" ht="16" x14ac:dyDescent="0.4">
      <c r="B755" t="str">
        <f t="shared" si="22"/>
        <v>2023-08-05_0013</v>
      </c>
      <c r="C755" s="8">
        <v>45143</v>
      </c>
      <c r="D755" s="11">
        <v>13</v>
      </c>
      <c r="E755" s="12" t="s">
        <v>11</v>
      </c>
      <c r="F755" s="6">
        <v>45123</v>
      </c>
      <c r="G755" s="8" t="s">
        <v>36</v>
      </c>
      <c r="H755" s="10">
        <f t="shared" si="23"/>
        <v>20</v>
      </c>
      <c r="I755" s="9" t="s">
        <v>12</v>
      </c>
      <c r="J755" s="9" t="s">
        <v>36</v>
      </c>
      <c r="K755" s="19">
        <v>45.268000000000001</v>
      </c>
      <c r="L755" s="22">
        <v>2.3519999999999999</v>
      </c>
      <c r="M755" s="22">
        <v>1.956</v>
      </c>
      <c r="N755" t="s">
        <v>14</v>
      </c>
    </row>
    <row r="756" spans="1:15" ht="16" x14ac:dyDescent="0.4">
      <c r="B756" t="str">
        <f t="shared" si="22"/>
        <v>2023-08-05_0014</v>
      </c>
      <c r="C756" s="8">
        <v>45143</v>
      </c>
      <c r="D756" s="11">
        <v>14</v>
      </c>
      <c r="E756" s="12" t="s">
        <v>11</v>
      </c>
      <c r="F756" s="6">
        <v>45115</v>
      </c>
      <c r="G756" s="8" t="s">
        <v>39</v>
      </c>
      <c r="H756" s="10">
        <f t="shared" si="23"/>
        <v>28</v>
      </c>
      <c r="I756" s="9" t="s">
        <v>12</v>
      </c>
      <c r="J756" s="9" t="s">
        <v>36</v>
      </c>
      <c r="K756" s="19" t="s">
        <v>21</v>
      </c>
      <c r="L756" s="22">
        <v>2.1549999999999998</v>
      </c>
      <c r="M756" s="22">
        <v>1.85</v>
      </c>
      <c r="N756" t="s">
        <v>23</v>
      </c>
      <c r="O756" t="s">
        <v>24</v>
      </c>
    </row>
    <row r="757" spans="1:15" ht="16" x14ac:dyDescent="0.4">
      <c r="B757" t="str">
        <f t="shared" si="22"/>
        <v>2023-08-05_0015</v>
      </c>
      <c r="C757" s="8">
        <v>45143</v>
      </c>
      <c r="D757" s="11">
        <v>15</v>
      </c>
      <c r="E757" s="12" t="s">
        <v>15</v>
      </c>
      <c r="F757" s="6">
        <v>45120</v>
      </c>
      <c r="G757" s="8" t="s">
        <v>36</v>
      </c>
      <c r="H757" s="10">
        <f t="shared" si="23"/>
        <v>23</v>
      </c>
      <c r="I757" s="9" t="s">
        <v>18</v>
      </c>
      <c r="J757" s="9" t="s">
        <v>36</v>
      </c>
      <c r="K757" s="19">
        <v>50.341000000000001</v>
      </c>
      <c r="L757" s="22">
        <v>2.3719999999999999</v>
      </c>
      <c r="M757" s="22">
        <v>1.958</v>
      </c>
      <c r="N757" t="s">
        <v>14</v>
      </c>
    </row>
    <row r="758" spans="1:15" ht="16" x14ac:dyDescent="0.4">
      <c r="B758" t="str">
        <f t="shared" si="22"/>
        <v>2023-08-05_0016</v>
      </c>
      <c r="C758" s="8">
        <v>45143</v>
      </c>
      <c r="D758" s="11">
        <v>16</v>
      </c>
      <c r="E758" s="12" t="s">
        <v>15</v>
      </c>
      <c r="F758" s="6">
        <v>45135</v>
      </c>
      <c r="G758" s="8" t="s">
        <v>36</v>
      </c>
      <c r="H758" s="10">
        <f t="shared" si="23"/>
        <v>8</v>
      </c>
      <c r="I758" s="9" t="s">
        <v>18</v>
      </c>
      <c r="J758" s="9" t="s">
        <v>36</v>
      </c>
      <c r="K758" s="19">
        <v>45.295000000000002</v>
      </c>
      <c r="L758" s="22">
        <v>2.129</v>
      </c>
      <c r="M758" s="22">
        <v>1.8320000000000001</v>
      </c>
      <c r="N758" t="s">
        <v>14</v>
      </c>
    </row>
    <row r="759" spans="1:15" ht="16" x14ac:dyDescent="0.4">
      <c r="B759" t="str">
        <f t="shared" si="22"/>
        <v>2023-08-05_0017</v>
      </c>
      <c r="C759" s="8">
        <v>45143</v>
      </c>
      <c r="D759" s="11">
        <v>17</v>
      </c>
      <c r="E759" s="12" t="s">
        <v>11</v>
      </c>
      <c r="F759" s="6">
        <v>45123</v>
      </c>
      <c r="G759" s="8" t="s">
        <v>39</v>
      </c>
      <c r="H759" s="10">
        <f t="shared" si="23"/>
        <v>20</v>
      </c>
      <c r="I759" s="9" t="s">
        <v>12</v>
      </c>
      <c r="J759" s="9" t="s">
        <v>36</v>
      </c>
      <c r="K759" s="19">
        <v>48.817</v>
      </c>
      <c r="L759" s="22">
        <v>2.669</v>
      </c>
      <c r="M759" s="22">
        <v>2.141</v>
      </c>
      <c r="N759" t="s">
        <v>25</v>
      </c>
      <c r="O759" t="s">
        <v>26</v>
      </c>
    </row>
    <row r="760" spans="1:15" ht="16" x14ac:dyDescent="0.4">
      <c r="B760" t="str">
        <f t="shared" si="22"/>
        <v>2023-08-05_0018</v>
      </c>
      <c r="C760" s="8">
        <v>45143</v>
      </c>
      <c r="D760" s="11">
        <v>18</v>
      </c>
      <c r="E760" s="12" t="s">
        <v>11</v>
      </c>
      <c r="F760" s="6">
        <v>45115</v>
      </c>
      <c r="G760" s="8" t="s">
        <v>36</v>
      </c>
      <c r="H760" s="10">
        <f t="shared" si="23"/>
        <v>28</v>
      </c>
      <c r="I760" s="9" t="s">
        <v>18</v>
      </c>
      <c r="J760" s="9" t="s">
        <v>39</v>
      </c>
      <c r="K760" s="19" t="s">
        <v>21</v>
      </c>
      <c r="L760" s="22">
        <v>1.96</v>
      </c>
      <c r="M760" s="22">
        <v>1.74</v>
      </c>
      <c r="N760" t="s">
        <v>16</v>
      </c>
      <c r="O760" t="s">
        <v>27</v>
      </c>
    </row>
    <row r="761" spans="1:15" ht="16" x14ac:dyDescent="0.4">
      <c r="B761" t="str">
        <f t="shared" si="22"/>
        <v>2023-08-05_0019</v>
      </c>
      <c r="C761" s="8">
        <v>45143</v>
      </c>
      <c r="D761" s="11">
        <v>19</v>
      </c>
      <c r="E761" s="12" t="s">
        <v>11</v>
      </c>
      <c r="F761" s="6">
        <v>45112</v>
      </c>
      <c r="G761" s="8" t="s">
        <v>36</v>
      </c>
      <c r="H761" s="10">
        <f t="shared" si="23"/>
        <v>31</v>
      </c>
      <c r="I761" s="9" t="s">
        <v>17</v>
      </c>
      <c r="J761" s="9" t="s">
        <v>36</v>
      </c>
      <c r="K761" s="19" t="s">
        <v>21</v>
      </c>
      <c r="L761" s="22">
        <v>2.5990000000000002</v>
      </c>
      <c r="M761" s="22">
        <v>1.9770000000000001</v>
      </c>
      <c r="N761" t="s">
        <v>19</v>
      </c>
      <c r="O761" t="s">
        <v>28</v>
      </c>
    </row>
    <row r="762" spans="1:15" ht="16" x14ac:dyDescent="0.4">
      <c r="A762">
        <v>7</v>
      </c>
      <c r="B762" t="str">
        <f t="shared" si="22"/>
        <v>2023-08-03_0001</v>
      </c>
      <c r="C762" s="8">
        <v>45141</v>
      </c>
      <c r="D762" s="11">
        <v>1</v>
      </c>
      <c r="E762" s="12" t="s">
        <v>11</v>
      </c>
      <c r="F762" s="6">
        <v>45107</v>
      </c>
      <c r="G762" s="9" t="s">
        <v>39</v>
      </c>
      <c r="H762" s="10">
        <f t="shared" si="23"/>
        <v>34</v>
      </c>
      <c r="I762" s="9" t="s">
        <v>12</v>
      </c>
      <c r="J762" s="9" t="s">
        <v>36</v>
      </c>
      <c r="K762" s="19">
        <v>46.488</v>
      </c>
      <c r="L762" s="22">
        <v>2.3180000000000001</v>
      </c>
      <c r="M762" s="22">
        <v>2.004</v>
      </c>
      <c r="N762" t="s">
        <v>14</v>
      </c>
      <c r="O762" t="s">
        <v>85</v>
      </c>
    </row>
    <row r="763" spans="1:15" ht="16" x14ac:dyDescent="0.4">
      <c r="A763">
        <v>7</v>
      </c>
      <c r="B763" t="str">
        <f t="shared" si="22"/>
        <v>2023-08-03_0002</v>
      </c>
      <c r="C763" s="8">
        <v>45141</v>
      </c>
      <c r="D763" s="11">
        <v>2</v>
      </c>
      <c r="E763" s="12" t="s">
        <v>11</v>
      </c>
      <c r="F763" s="6">
        <v>45125</v>
      </c>
      <c r="G763" s="9" t="s">
        <v>36</v>
      </c>
      <c r="H763" s="10">
        <f t="shared" si="23"/>
        <v>16</v>
      </c>
      <c r="I763" s="9" t="s">
        <v>12</v>
      </c>
      <c r="J763" s="9" t="s">
        <v>36</v>
      </c>
      <c r="K763" s="19">
        <v>45.2</v>
      </c>
      <c r="L763" s="22">
        <v>2.7090000000000001</v>
      </c>
      <c r="M763" s="22">
        <v>2.258</v>
      </c>
      <c r="N763" t="s">
        <v>16</v>
      </c>
      <c r="O763" t="s">
        <v>87</v>
      </c>
    </row>
    <row r="764" spans="1:15" ht="16" x14ac:dyDescent="0.4">
      <c r="A764">
        <v>7</v>
      </c>
      <c r="B764" t="str">
        <f t="shared" si="22"/>
        <v>2023-08-03_0003</v>
      </c>
      <c r="C764" s="8">
        <v>45141</v>
      </c>
      <c r="D764" s="11">
        <v>3</v>
      </c>
      <c r="E764" s="12" t="s">
        <v>11</v>
      </c>
      <c r="F764" s="6">
        <v>45121</v>
      </c>
      <c r="G764" s="9" t="s">
        <v>36</v>
      </c>
      <c r="H764" s="10">
        <f t="shared" si="23"/>
        <v>20</v>
      </c>
      <c r="I764" s="9" t="s">
        <v>12</v>
      </c>
      <c r="J764" s="9" t="s">
        <v>39</v>
      </c>
      <c r="K764" s="19">
        <v>46.777999999999999</v>
      </c>
      <c r="L764" s="22">
        <v>2.36</v>
      </c>
      <c r="M764" s="22">
        <v>1.96</v>
      </c>
      <c r="N764" t="s">
        <v>14</v>
      </c>
      <c r="O764" t="s">
        <v>141</v>
      </c>
    </row>
    <row r="765" spans="1:15" ht="16" x14ac:dyDescent="0.4">
      <c r="A765">
        <v>7</v>
      </c>
      <c r="B765" t="str">
        <f t="shared" si="22"/>
        <v>2023-08-03_0004</v>
      </c>
      <c r="C765" s="8">
        <v>45141</v>
      </c>
      <c r="D765" s="11">
        <v>4</v>
      </c>
      <c r="E765" s="12" t="s">
        <v>15</v>
      </c>
      <c r="F765" s="6">
        <v>45121</v>
      </c>
      <c r="G765" s="9" t="s">
        <v>36</v>
      </c>
      <c r="H765" s="10">
        <f t="shared" si="23"/>
        <v>20</v>
      </c>
      <c r="I765" s="9" t="s">
        <v>12</v>
      </c>
      <c r="J765" s="9" t="s">
        <v>36</v>
      </c>
      <c r="K765" s="19">
        <v>45.091999999999999</v>
      </c>
      <c r="L765" s="22">
        <v>2.1480000000000001</v>
      </c>
      <c r="M765" s="22">
        <v>1.857</v>
      </c>
      <c r="N765" t="s">
        <v>14</v>
      </c>
    </row>
    <row r="766" spans="1:15" ht="16" x14ac:dyDescent="0.4">
      <c r="A766">
        <v>7</v>
      </c>
      <c r="B766" t="str">
        <f t="shared" si="22"/>
        <v>2023-08-03_0005</v>
      </c>
      <c r="C766" s="8">
        <v>45141</v>
      </c>
      <c r="D766" s="11">
        <v>5</v>
      </c>
      <c r="E766" s="12" t="s">
        <v>11</v>
      </c>
      <c r="F766" s="6">
        <v>45125</v>
      </c>
      <c r="G766" s="9" t="s">
        <v>36</v>
      </c>
      <c r="H766" s="10">
        <f t="shared" si="23"/>
        <v>16</v>
      </c>
      <c r="I766" s="9" t="s">
        <v>38</v>
      </c>
      <c r="J766" s="9" t="s">
        <v>36</v>
      </c>
      <c r="K766" s="19">
        <v>46.003999999999998</v>
      </c>
      <c r="L766" s="22">
        <v>2.504</v>
      </c>
      <c r="M766" s="22">
        <v>2.1080000000000001</v>
      </c>
      <c r="N766" t="s">
        <v>16</v>
      </c>
      <c r="O766" t="s">
        <v>87</v>
      </c>
    </row>
    <row r="767" spans="1:15" ht="16" x14ac:dyDescent="0.4">
      <c r="A767">
        <v>7</v>
      </c>
      <c r="B767" t="str">
        <f t="shared" si="22"/>
        <v>2023-08-03_0006</v>
      </c>
      <c r="C767" s="8">
        <v>45141</v>
      </c>
      <c r="D767" s="11">
        <v>6</v>
      </c>
      <c r="E767" s="12" t="s">
        <v>15</v>
      </c>
      <c r="F767" s="6">
        <v>45109</v>
      </c>
      <c r="G767" s="9" t="s">
        <v>36</v>
      </c>
      <c r="H767" s="10">
        <f t="shared" si="23"/>
        <v>32</v>
      </c>
      <c r="I767" s="9" t="s">
        <v>38</v>
      </c>
      <c r="J767" s="9" t="s">
        <v>36</v>
      </c>
      <c r="K767" s="19">
        <v>46.082999999999998</v>
      </c>
      <c r="L767" s="22">
        <v>2.4849999999999999</v>
      </c>
      <c r="M767" s="22">
        <v>2.0859999999999999</v>
      </c>
      <c r="N767" t="s">
        <v>14</v>
      </c>
    </row>
    <row r="768" spans="1:15" ht="16" x14ac:dyDescent="0.4">
      <c r="A768">
        <v>7</v>
      </c>
      <c r="B768" t="str">
        <f t="shared" si="22"/>
        <v>2023-08-03_0007</v>
      </c>
      <c r="C768" s="8">
        <v>45141</v>
      </c>
      <c r="D768" s="11">
        <v>7</v>
      </c>
      <c r="E768" s="12" t="s">
        <v>15</v>
      </c>
      <c r="F768" s="6">
        <v>45109</v>
      </c>
      <c r="G768" s="9" t="s">
        <v>36</v>
      </c>
      <c r="H768" s="10">
        <f t="shared" si="23"/>
        <v>32</v>
      </c>
      <c r="I768" s="9" t="s">
        <v>12</v>
      </c>
      <c r="J768" s="9" t="s">
        <v>36</v>
      </c>
      <c r="K768" s="19" t="s">
        <v>21</v>
      </c>
      <c r="L768" s="22">
        <v>2.6280000000000001</v>
      </c>
      <c r="M768" s="22">
        <v>2.15</v>
      </c>
      <c r="N768" t="s">
        <v>16</v>
      </c>
      <c r="O768" t="s">
        <v>87</v>
      </c>
    </row>
    <row r="769" spans="1:15" ht="16" x14ac:dyDescent="0.4">
      <c r="A769">
        <v>7</v>
      </c>
      <c r="B769" t="str">
        <f t="shared" si="22"/>
        <v>2023-08-03_0008</v>
      </c>
      <c r="C769" s="8">
        <v>45141</v>
      </c>
      <c r="D769" s="11">
        <v>8</v>
      </c>
      <c r="E769" s="12" t="s">
        <v>11</v>
      </c>
      <c r="F769" s="6">
        <v>45127</v>
      </c>
      <c r="G769" s="9" t="s">
        <v>36</v>
      </c>
      <c r="H769" s="10">
        <f t="shared" si="23"/>
        <v>14</v>
      </c>
      <c r="I769" s="9" t="s">
        <v>38</v>
      </c>
      <c r="J769" s="9" t="s">
        <v>36</v>
      </c>
      <c r="K769" s="19">
        <v>42.433</v>
      </c>
      <c r="L769" s="22">
        <v>2.3839999999999999</v>
      </c>
      <c r="M769" s="22">
        <v>1.887</v>
      </c>
      <c r="N769" t="s">
        <v>14</v>
      </c>
    </row>
    <row r="770" spans="1:15" ht="16" x14ac:dyDescent="0.4">
      <c r="A770">
        <v>7</v>
      </c>
      <c r="B770" t="str">
        <f t="shared" ref="B770:B833" si="24">IF(ISBLANK(C770),NA(),_xlfn.CONCAT(TEXT(C770,"YYYY-MM-DD"),"_",TEXT(D770,"0000")))</f>
        <v>2023-08-03_0009</v>
      </c>
      <c r="C770" s="8">
        <v>45141</v>
      </c>
      <c r="D770" s="11">
        <v>9</v>
      </c>
      <c r="E770" s="12" t="s">
        <v>15</v>
      </c>
      <c r="F770" s="6">
        <v>45109</v>
      </c>
      <c r="G770" s="9" t="s">
        <v>36</v>
      </c>
      <c r="H770" s="10">
        <f t="shared" ref="H770:H833" si="25">IF(F770="NA","NA", DATEDIF(F770,C770,"d"))</f>
        <v>32</v>
      </c>
      <c r="I770" s="9" t="s">
        <v>18</v>
      </c>
      <c r="J770" s="9" t="s">
        <v>36</v>
      </c>
      <c r="K770" s="19">
        <v>45.677</v>
      </c>
      <c r="L770" s="22">
        <v>2.5259999999999998</v>
      </c>
      <c r="M770" s="22">
        <v>2.097</v>
      </c>
      <c r="N770" t="s">
        <v>14</v>
      </c>
    </row>
    <row r="771" spans="1:15" ht="16" x14ac:dyDescent="0.4">
      <c r="A771">
        <v>7</v>
      </c>
      <c r="B771" t="str">
        <f t="shared" si="24"/>
        <v>2023-08-03_0010</v>
      </c>
      <c r="C771" s="8">
        <v>45141</v>
      </c>
      <c r="D771" s="11">
        <v>10</v>
      </c>
      <c r="E771" s="12" t="s">
        <v>15</v>
      </c>
      <c r="F771" s="6">
        <v>45127</v>
      </c>
      <c r="G771" s="9" t="s">
        <v>36</v>
      </c>
      <c r="H771" s="10">
        <f t="shared" si="25"/>
        <v>14</v>
      </c>
      <c r="I771" s="9" t="s">
        <v>38</v>
      </c>
      <c r="J771" s="9" t="s">
        <v>36</v>
      </c>
      <c r="K771" s="19">
        <v>45.091999999999999</v>
      </c>
      <c r="L771" s="22">
        <v>2.4660000000000002</v>
      </c>
      <c r="M771" s="22">
        <v>1.9430000000000001</v>
      </c>
      <c r="N771" t="s">
        <v>14</v>
      </c>
    </row>
    <row r="772" spans="1:15" ht="16" x14ac:dyDescent="0.4">
      <c r="A772">
        <v>7</v>
      </c>
      <c r="B772" t="str">
        <f t="shared" si="24"/>
        <v>2023-08-03_0011</v>
      </c>
      <c r="C772" s="8">
        <v>45141</v>
      </c>
      <c r="D772" s="11">
        <v>11</v>
      </c>
      <c r="E772" s="12" t="s">
        <v>15</v>
      </c>
      <c r="F772" s="6">
        <v>45126</v>
      </c>
      <c r="G772" s="9" t="s">
        <v>36</v>
      </c>
      <c r="H772" s="10">
        <f t="shared" si="25"/>
        <v>15</v>
      </c>
      <c r="I772" s="9" t="s">
        <v>38</v>
      </c>
      <c r="J772" s="9" t="s">
        <v>36</v>
      </c>
      <c r="K772" s="19">
        <v>41.706000000000003</v>
      </c>
      <c r="L772" s="22">
        <v>2.254</v>
      </c>
      <c r="M772" s="22">
        <v>1.8</v>
      </c>
      <c r="N772" t="s">
        <v>14</v>
      </c>
    </row>
    <row r="773" spans="1:15" ht="16" x14ac:dyDescent="0.4">
      <c r="A773">
        <v>7</v>
      </c>
      <c r="B773" t="str">
        <f t="shared" si="24"/>
        <v>2023-08-03_0012</v>
      </c>
      <c r="C773" s="8">
        <v>45141</v>
      </c>
      <c r="D773" s="11">
        <v>12</v>
      </c>
      <c r="E773" s="12" t="s">
        <v>11</v>
      </c>
      <c r="F773" s="6">
        <v>45109</v>
      </c>
      <c r="G773" s="9" t="s">
        <v>36</v>
      </c>
      <c r="H773" s="10">
        <f t="shared" si="25"/>
        <v>32</v>
      </c>
      <c r="I773" s="9" t="s">
        <v>18</v>
      </c>
      <c r="J773" s="9" t="s">
        <v>39</v>
      </c>
      <c r="K773" s="19">
        <v>45.756</v>
      </c>
      <c r="L773" s="22">
        <v>2.532</v>
      </c>
      <c r="M773" s="22">
        <v>2.085</v>
      </c>
      <c r="N773" t="s">
        <v>25</v>
      </c>
      <c r="O773" t="s">
        <v>142</v>
      </c>
    </row>
    <row r="774" spans="1:15" ht="16" x14ac:dyDescent="0.4">
      <c r="A774">
        <v>7</v>
      </c>
      <c r="B774" t="str">
        <f t="shared" si="24"/>
        <v>2023-08-03_0013</v>
      </c>
      <c r="C774" s="8">
        <v>45141</v>
      </c>
      <c r="D774" s="11">
        <v>13</v>
      </c>
      <c r="E774" s="12" t="s">
        <v>11</v>
      </c>
      <c r="F774" s="6">
        <v>45097</v>
      </c>
      <c r="G774" s="9" t="s">
        <v>39</v>
      </c>
      <c r="H774" s="10">
        <f t="shared" si="25"/>
        <v>44</v>
      </c>
      <c r="I774" s="9" t="s">
        <v>12</v>
      </c>
      <c r="J774" s="9" t="s">
        <v>36</v>
      </c>
      <c r="K774" s="19" t="s">
        <v>21</v>
      </c>
      <c r="L774" s="22">
        <v>2.5720000000000001</v>
      </c>
      <c r="M774" s="22">
        <v>2.117</v>
      </c>
      <c r="N774" t="s">
        <v>16</v>
      </c>
      <c r="O774" t="s">
        <v>143</v>
      </c>
    </row>
    <row r="775" spans="1:15" ht="16" x14ac:dyDescent="0.4">
      <c r="A775">
        <v>7</v>
      </c>
      <c r="B775" t="str">
        <f t="shared" si="24"/>
        <v>2023-08-03_0014</v>
      </c>
      <c r="C775" s="8">
        <v>45141</v>
      </c>
      <c r="D775" s="11">
        <v>14</v>
      </c>
      <c r="E775" s="12" t="s">
        <v>11</v>
      </c>
      <c r="F775" s="6">
        <v>45104</v>
      </c>
      <c r="G775" s="9" t="s">
        <v>36</v>
      </c>
      <c r="H775" s="10">
        <f t="shared" si="25"/>
        <v>37</v>
      </c>
      <c r="I775" s="9" t="s">
        <v>18</v>
      </c>
      <c r="J775" s="9" t="s">
        <v>36</v>
      </c>
      <c r="K775" s="19" t="s">
        <v>21</v>
      </c>
      <c r="L775" s="22">
        <v>2.472</v>
      </c>
      <c r="M775" s="22">
        <v>2.1269999999999998</v>
      </c>
      <c r="N775" t="s">
        <v>16</v>
      </c>
      <c r="O775" t="s">
        <v>87</v>
      </c>
    </row>
    <row r="776" spans="1:15" ht="16" x14ac:dyDescent="0.4">
      <c r="A776">
        <v>7</v>
      </c>
      <c r="B776" t="str">
        <f t="shared" si="24"/>
        <v>2023-08-03_0015</v>
      </c>
      <c r="C776" s="8">
        <v>45141</v>
      </c>
      <c r="D776" s="11">
        <v>15</v>
      </c>
      <c r="E776" s="12" t="s">
        <v>15</v>
      </c>
      <c r="F776" s="6">
        <v>45122</v>
      </c>
      <c r="G776" s="9" t="s">
        <v>36</v>
      </c>
      <c r="H776" s="10">
        <f t="shared" si="25"/>
        <v>19</v>
      </c>
      <c r="I776" s="9" t="s">
        <v>18</v>
      </c>
      <c r="J776" s="9" t="s">
        <v>36</v>
      </c>
      <c r="K776" s="19">
        <v>41.152000000000001</v>
      </c>
      <c r="L776" s="22">
        <v>2.3330000000000002</v>
      </c>
      <c r="M776" s="22">
        <v>1.956</v>
      </c>
      <c r="N776" t="s">
        <v>14</v>
      </c>
      <c r="O776" t="s">
        <v>144</v>
      </c>
    </row>
    <row r="777" spans="1:15" ht="16" x14ac:dyDescent="0.4">
      <c r="A777">
        <v>7</v>
      </c>
      <c r="B777" t="str">
        <f t="shared" si="24"/>
        <v>2023-08-03_0016</v>
      </c>
      <c r="C777" s="8">
        <v>45141</v>
      </c>
      <c r="D777" s="11">
        <v>16</v>
      </c>
      <c r="E777" s="12" t="s">
        <v>11</v>
      </c>
      <c r="F777" s="6">
        <v>45107</v>
      </c>
      <c r="G777" s="9" t="s">
        <v>39</v>
      </c>
      <c r="H777" s="10">
        <f t="shared" si="25"/>
        <v>34</v>
      </c>
      <c r="I777" s="9" t="s">
        <v>38</v>
      </c>
      <c r="J777" s="9" t="s">
        <v>39</v>
      </c>
      <c r="K777" s="19" t="s">
        <v>21</v>
      </c>
      <c r="L777" s="22">
        <v>2.4950000000000001</v>
      </c>
      <c r="M777" s="22">
        <v>2.0049999999999999</v>
      </c>
      <c r="N777" t="s">
        <v>16</v>
      </c>
      <c r="O777" t="s">
        <v>145</v>
      </c>
    </row>
    <row r="778" spans="1:15" ht="16" x14ac:dyDescent="0.4">
      <c r="A778">
        <v>7</v>
      </c>
      <c r="B778" t="str">
        <f t="shared" si="24"/>
        <v>2023-08-03_0017</v>
      </c>
      <c r="C778" s="8">
        <v>45141</v>
      </c>
      <c r="D778" s="11">
        <v>17</v>
      </c>
      <c r="E778" s="12" t="s">
        <v>15</v>
      </c>
      <c r="F778" s="6">
        <v>45104</v>
      </c>
      <c r="G778" s="9" t="s">
        <v>36</v>
      </c>
      <c r="H778" s="10">
        <f t="shared" si="25"/>
        <v>37</v>
      </c>
      <c r="I778" s="9" t="s">
        <v>12</v>
      </c>
      <c r="J778" s="9" t="s">
        <v>36</v>
      </c>
      <c r="K778" s="19">
        <v>44.411999999999999</v>
      </c>
      <c r="L778" s="22">
        <v>2.37</v>
      </c>
      <c r="M778" s="22">
        <v>1.98</v>
      </c>
      <c r="N778" t="s">
        <v>14</v>
      </c>
      <c r="O778" t="s">
        <v>146</v>
      </c>
    </row>
    <row r="779" spans="1:15" ht="16" x14ac:dyDescent="0.4">
      <c r="A779">
        <v>7</v>
      </c>
      <c r="B779" t="str">
        <f t="shared" si="24"/>
        <v>2023-08-03_0018</v>
      </c>
      <c r="C779" s="8">
        <v>45141</v>
      </c>
      <c r="D779" s="11">
        <v>18</v>
      </c>
      <c r="E779" s="12" t="s">
        <v>15</v>
      </c>
      <c r="F779" s="6">
        <v>45126</v>
      </c>
      <c r="G779" s="9" t="s">
        <v>39</v>
      </c>
      <c r="H779" s="10">
        <f t="shared" si="25"/>
        <v>15</v>
      </c>
      <c r="I779" s="9" t="s">
        <v>18</v>
      </c>
      <c r="J779" s="9" t="s">
        <v>36</v>
      </c>
      <c r="K779" s="19" t="s">
        <v>21</v>
      </c>
      <c r="L779" s="22">
        <v>2.2069999999999999</v>
      </c>
      <c r="M779" s="22">
        <v>1.8</v>
      </c>
      <c r="N779" t="s">
        <v>16</v>
      </c>
      <c r="O779" t="s">
        <v>75</v>
      </c>
    </row>
    <row r="780" spans="1:15" ht="16" x14ac:dyDescent="0.4">
      <c r="A780">
        <v>7</v>
      </c>
      <c r="B780" t="str">
        <f t="shared" si="24"/>
        <v>2023-08-03_0019</v>
      </c>
      <c r="C780" s="8">
        <v>45141</v>
      </c>
      <c r="D780" s="11">
        <v>19</v>
      </c>
      <c r="E780" s="12" t="s">
        <v>11</v>
      </c>
      <c r="F780" s="6">
        <v>45104</v>
      </c>
      <c r="G780" s="9" t="s">
        <v>36</v>
      </c>
      <c r="H780" s="10">
        <f t="shared" si="25"/>
        <v>37</v>
      </c>
      <c r="I780" s="9" t="s">
        <v>12</v>
      </c>
      <c r="J780" s="9" t="s">
        <v>36</v>
      </c>
      <c r="K780" s="19">
        <v>40.396000000000001</v>
      </c>
      <c r="L780" s="22">
        <v>2.2269999999999999</v>
      </c>
      <c r="M780" s="22">
        <v>1.8109999999999999</v>
      </c>
      <c r="N780" t="s">
        <v>14</v>
      </c>
    </row>
    <row r="781" spans="1:15" ht="16" x14ac:dyDescent="0.4">
      <c r="A781">
        <v>7</v>
      </c>
      <c r="B781" t="str">
        <f t="shared" si="24"/>
        <v>2023-08-03_0020</v>
      </c>
      <c r="C781" s="8">
        <v>45141</v>
      </c>
      <c r="D781" s="11">
        <v>20</v>
      </c>
      <c r="E781" s="12" t="s">
        <v>11</v>
      </c>
      <c r="F781" s="6">
        <v>45108</v>
      </c>
      <c r="G781" s="9" t="s">
        <v>36</v>
      </c>
      <c r="H781" s="10">
        <f t="shared" si="25"/>
        <v>33</v>
      </c>
      <c r="I781" s="9" t="s">
        <v>12</v>
      </c>
      <c r="J781" s="9" t="s">
        <v>36</v>
      </c>
      <c r="K781" s="19" t="s">
        <v>21</v>
      </c>
      <c r="L781" s="22">
        <v>2.548</v>
      </c>
      <c r="M781" s="22">
        <v>1.9650000000000001</v>
      </c>
      <c r="N781" t="s">
        <v>16</v>
      </c>
      <c r="O781" t="s">
        <v>104</v>
      </c>
    </row>
    <row r="782" spans="1:15" ht="16" x14ac:dyDescent="0.4">
      <c r="A782">
        <v>7</v>
      </c>
      <c r="B782" t="str">
        <f t="shared" si="24"/>
        <v>2023-08-03_0021</v>
      </c>
      <c r="C782" s="8">
        <v>45141</v>
      </c>
      <c r="D782" s="11">
        <v>21</v>
      </c>
      <c r="E782" s="12" t="s">
        <v>11</v>
      </c>
      <c r="F782" s="6">
        <v>45109</v>
      </c>
      <c r="G782" s="9" t="s">
        <v>36</v>
      </c>
      <c r="H782" s="10">
        <f t="shared" si="25"/>
        <v>32</v>
      </c>
      <c r="I782" s="9" t="s">
        <v>38</v>
      </c>
      <c r="J782" s="9" t="s">
        <v>36</v>
      </c>
      <c r="K782" s="19" t="s">
        <v>21</v>
      </c>
      <c r="L782" s="22">
        <v>2.4740000000000002</v>
      </c>
      <c r="M782" s="22">
        <v>2.081</v>
      </c>
      <c r="N782" t="s">
        <v>16</v>
      </c>
      <c r="O782" t="s">
        <v>147</v>
      </c>
    </row>
    <row r="783" spans="1:15" ht="16" x14ac:dyDescent="0.4">
      <c r="A783">
        <v>7</v>
      </c>
      <c r="B783" t="str">
        <f t="shared" si="24"/>
        <v>2023-08-03_0022</v>
      </c>
      <c r="C783" s="8">
        <v>45141</v>
      </c>
      <c r="D783" s="11">
        <v>22</v>
      </c>
      <c r="E783" s="12" t="s">
        <v>11</v>
      </c>
      <c r="F783" s="6" t="s">
        <v>21</v>
      </c>
      <c r="G783" s="9" t="s">
        <v>21</v>
      </c>
      <c r="H783" s="10" t="str">
        <f t="shared" si="25"/>
        <v>NA</v>
      </c>
      <c r="I783" s="9" t="s">
        <v>12</v>
      </c>
      <c r="J783" s="9" t="s">
        <v>36</v>
      </c>
      <c r="K783" s="19" t="s">
        <v>21</v>
      </c>
      <c r="L783" s="22">
        <v>2.456</v>
      </c>
      <c r="M783" s="22">
        <v>1.9970000000000001</v>
      </c>
      <c r="N783" t="s">
        <v>16</v>
      </c>
      <c r="O783" t="s">
        <v>148</v>
      </c>
    </row>
    <row r="784" spans="1:15" ht="16" x14ac:dyDescent="0.4">
      <c r="A784">
        <v>7</v>
      </c>
      <c r="B784" t="str">
        <f t="shared" si="24"/>
        <v>2023-08-03_0023</v>
      </c>
      <c r="C784" s="8">
        <v>45141</v>
      </c>
      <c r="D784" s="11">
        <v>23</v>
      </c>
      <c r="E784" s="12" t="s">
        <v>11</v>
      </c>
      <c r="F784" s="6">
        <v>45109</v>
      </c>
      <c r="G784" s="9" t="s">
        <v>39</v>
      </c>
      <c r="H784" s="10">
        <f t="shared" si="25"/>
        <v>32</v>
      </c>
      <c r="I784" s="9" t="s">
        <v>38</v>
      </c>
      <c r="J784" s="9" t="s">
        <v>36</v>
      </c>
      <c r="K784" s="19" t="s">
        <v>21</v>
      </c>
      <c r="L784" s="22">
        <v>2.3540000000000001</v>
      </c>
      <c r="M784" s="22">
        <v>1.901</v>
      </c>
      <c r="N784" t="s">
        <v>16</v>
      </c>
      <c r="O784" t="s">
        <v>149</v>
      </c>
    </row>
    <row r="785" spans="1:15" ht="16" x14ac:dyDescent="0.4">
      <c r="A785">
        <v>4</v>
      </c>
      <c r="B785" t="str">
        <f t="shared" si="24"/>
        <v>2023-08-01_0001</v>
      </c>
      <c r="C785" s="8">
        <v>45139</v>
      </c>
      <c r="D785" s="11">
        <v>1</v>
      </c>
      <c r="E785" s="12" t="s">
        <v>15</v>
      </c>
      <c r="F785" s="6">
        <v>45121</v>
      </c>
      <c r="G785" s="8" t="s">
        <v>36</v>
      </c>
      <c r="H785" s="10">
        <f t="shared" si="25"/>
        <v>18</v>
      </c>
      <c r="I785" s="9" t="s">
        <v>38</v>
      </c>
      <c r="J785" s="9" t="s">
        <v>36</v>
      </c>
      <c r="K785" s="19">
        <v>47.033000000000001</v>
      </c>
      <c r="L785" s="22">
        <v>2.3860000000000001</v>
      </c>
      <c r="M785" s="22">
        <v>1.95</v>
      </c>
      <c r="N785" t="s">
        <v>14</v>
      </c>
    </row>
    <row r="786" spans="1:15" ht="16" x14ac:dyDescent="0.4">
      <c r="A786">
        <v>4</v>
      </c>
      <c r="B786" t="str">
        <f t="shared" si="24"/>
        <v>2023-08-01_0002</v>
      </c>
      <c r="C786" s="8">
        <v>45139</v>
      </c>
      <c r="D786" s="11">
        <v>2</v>
      </c>
      <c r="E786" s="12" t="s">
        <v>11</v>
      </c>
      <c r="F786" s="6">
        <v>45102</v>
      </c>
      <c r="G786" s="8" t="s">
        <v>39</v>
      </c>
      <c r="H786" s="10">
        <f t="shared" si="25"/>
        <v>37</v>
      </c>
      <c r="I786" s="9" t="s">
        <v>18</v>
      </c>
      <c r="J786" s="9" t="s">
        <v>39</v>
      </c>
      <c r="K786" s="19">
        <v>45.689</v>
      </c>
      <c r="L786" s="22">
        <v>2.391</v>
      </c>
      <c r="M786" s="22">
        <v>1.88</v>
      </c>
      <c r="N786" t="s">
        <v>14</v>
      </c>
      <c r="O786" t="s">
        <v>20</v>
      </c>
    </row>
    <row r="787" spans="1:15" ht="16" x14ac:dyDescent="0.4">
      <c r="A787">
        <v>4</v>
      </c>
      <c r="B787" t="str">
        <f t="shared" si="24"/>
        <v>2023-08-01_0003</v>
      </c>
      <c r="C787" s="8">
        <v>45139</v>
      </c>
      <c r="D787" s="11">
        <v>3</v>
      </c>
      <c r="E787" s="12" t="s">
        <v>15</v>
      </c>
      <c r="F787" s="6">
        <v>45123</v>
      </c>
      <c r="G787" s="8" t="s">
        <v>36</v>
      </c>
      <c r="H787" s="10">
        <f t="shared" si="25"/>
        <v>16</v>
      </c>
      <c r="I787" s="9" t="s">
        <v>37</v>
      </c>
      <c r="J787" s="9" t="s">
        <v>36</v>
      </c>
      <c r="K787" s="19">
        <v>47.084000000000003</v>
      </c>
      <c r="L787" s="22">
        <v>2.33</v>
      </c>
      <c r="M787" s="22">
        <v>1.889</v>
      </c>
      <c r="N787" t="s">
        <v>14</v>
      </c>
    </row>
    <row r="788" spans="1:15" ht="16" x14ac:dyDescent="0.4">
      <c r="A788">
        <v>4</v>
      </c>
      <c r="B788" t="str">
        <f t="shared" si="24"/>
        <v>2023-08-01_0004</v>
      </c>
      <c r="C788" s="8">
        <v>45139</v>
      </c>
      <c r="D788" s="11">
        <v>4</v>
      </c>
      <c r="E788" s="12" t="s">
        <v>15</v>
      </c>
      <c r="F788" s="6">
        <v>45123</v>
      </c>
      <c r="G788" s="8" t="s">
        <v>36</v>
      </c>
      <c r="H788" s="10">
        <f t="shared" si="25"/>
        <v>16</v>
      </c>
      <c r="I788" s="9" t="s">
        <v>37</v>
      </c>
      <c r="J788" s="9" t="s">
        <v>36</v>
      </c>
      <c r="K788" s="19">
        <v>45.459000000000003</v>
      </c>
      <c r="L788" s="22">
        <v>2.34</v>
      </c>
      <c r="M788" s="22">
        <v>1.9350000000000001</v>
      </c>
      <c r="N788" t="s">
        <v>14</v>
      </c>
    </row>
    <row r="789" spans="1:15" ht="16" x14ac:dyDescent="0.4">
      <c r="A789">
        <v>4</v>
      </c>
      <c r="B789" t="str">
        <f t="shared" si="24"/>
        <v>2023-08-01_0005</v>
      </c>
      <c r="C789" s="8">
        <v>45139</v>
      </c>
      <c r="D789" s="11">
        <v>5</v>
      </c>
      <c r="E789" s="12" t="s">
        <v>11</v>
      </c>
      <c r="F789" s="6">
        <v>45135</v>
      </c>
      <c r="G789" s="8" t="s">
        <v>39</v>
      </c>
      <c r="H789" s="10">
        <f t="shared" si="25"/>
        <v>4</v>
      </c>
      <c r="I789" s="9" t="s">
        <v>38</v>
      </c>
      <c r="J789" s="9" t="s">
        <v>36</v>
      </c>
      <c r="K789" s="19">
        <v>46.411999999999999</v>
      </c>
      <c r="L789" s="22">
        <v>2.4</v>
      </c>
      <c r="M789" s="22">
        <v>2.17</v>
      </c>
      <c r="N789" t="s">
        <v>14</v>
      </c>
    </row>
    <row r="790" spans="1:15" ht="16" x14ac:dyDescent="0.4">
      <c r="A790">
        <v>4</v>
      </c>
      <c r="B790" t="str">
        <f t="shared" si="24"/>
        <v>2023-08-01_0006</v>
      </c>
      <c r="C790" s="8">
        <v>45139</v>
      </c>
      <c r="D790" s="11">
        <v>6</v>
      </c>
      <c r="E790" s="12" t="s">
        <v>15</v>
      </c>
      <c r="F790" s="6">
        <v>45114</v>
      </c>
      <c r="G790" s="8" t="s">
        <v>36</v>
      </c>
      <c r="H790" s="10">
        <f t="shared" si="25"/>
        <v>25</v>
      </c>
      <c r="I790" s="9" t="s">
        <v>18</v>
      </c>
      <c r="J790" s="9" t="s">
        <v>36</v>
      </c>
      <c r="K790" s="19">
        <v>46.293999999999997</v>
      </c>
      <c r="L790" s="22">
        <v>2.2669999999999999</v>
      </c>
      <c r="M790" s="22">
        <v>1.96</v>
      </c>
      <c r="N790" t="s">
        <v>14</v>
      </c>
    </row>
    <row r="791" spans="1:15" ht="16" x14ac:dyDescent="0.4">
      <c r="A791">
        <v>4</v>
      </c>
      <c r="B791" t="str">
        <f t="shared" si="24"/>
        <v>2023-08-01_0007</v>
      </c>
      <c r="C791" s="8">
        <v>45139</v>
      </c>
      <c r="D791" s="11">
        <v>7</v>
      </c>
      <c r="E791" s="12" t="s">
        <v>11</v>
      </c>
      <c r="F791" s="6">
        <v>45104</v>
      </c>
      <c r="G791" s="8" t="s">
        <v>36</v>
      </c>
      <c r="H791" s="10">
        <f t="shared" si="25"/>
        <v>35</v>
      </c>
      <c r="I791" s="9" t="s">
        <v>21</v>
      </c>
      <c r="J791" s="9" t="s">
        <v>21</v>
      </c>
      <c r="K791" s="19" t="s">
        <v>21</v>
      </c>
      <c r="L791" s="22">
        <v>2.516</v>
      </c>
      <c r="M791" s="22">
        <v>2.0310000000000001</v>
      </c>
      <c r="N791" t="s">
        <v>16</v>
      </c>
      <c r="O791" t="s">
        <v>150</v>
      </c>
    </row>
    <row r="792" spans="1:15" ht="16" x14ac:dyDescent="0.4">
      <c r="A792">
        <v>4</v>
      </c>
      <c r="B792" t="str">
        <f t="shared" si="24"/>
        <v>2023-08-01_0008</v>
      </c>
      <c r="C792" s="8">
        <v>45139</v>
      </c>
      <c r="D792" s="11">
        <v>8</v>
      </c>
      <c r="E792" s="12" t="s">
        <v>11</v>
      </c>
      <c r="F792" s="6">
        <v>45129</v>
      </c>
      <c r="G792" s="8" t="s">
        <v>36</v>
      </c>
      <c r="H792" s="10">
        <f t="shared" si="25"/>
        <v>10</v>
      </c>
      <c r="I792" s="9" t="s">
        <v>37</v>
      </c>
      <c r="J792" s="9" t="s">
        <v>36</v>
      </c>
      <c r="K792" s="19">
        <v>44.307000000000002</v>
      </c>
      <c r="L792" s="22">
        <v>2.444</v>
      </c>
      <c r="M792" s="22">
        <v>2.028</v>
      </c>
      <c r="N792" t="s">
        <v>14</v>
      </c>
    </row>
    <row r="793" spans="1:15" ht="16" x14ac:dyDescent="0.4">
      <c r="A793">
        <v>4</v>
      </c>
      <c r="B793" t="str">
        <f t="shared" si="24"/>
        <v>2023-08-01_0009</v>
      </c>
      <c r="C793" s="8">
        <v>45139</v>
      </c>
      <c r="D793" s="11">
        <v>9</v>
      </c>
      <c r="E793" s="12" t="s">
        <v>11</v>
      </c>
      <c r="F793" s="6">
        <v>45123</v>
      </c>
      <c r="G793" s="8" t="s">
        <v>36</v>
      </c>
      <c r="H793" s="10">
        <f t="shared" si="25"/>
        <v>16</v>
      </c>
      <c r="I793" s="9" t="s">
        <v>18</v>
      </c>
      <c r="J793" s="9" t="s">
        <v>36</v>
      </c>
      <c r="K793" s="19">
        <v>46.466000000000001</v>
      </c>
      <c r="L793" s="22">
        <v>2.4729999999999999</v>
      </c>
      <c r="M793" s="22">
        <v>2.0219999999999998</v>
      </c>
      <c r="N793" t="s">
        <v>14</v>
      </c>
    </row>
    <row r="794" spans="1:15" ht="16" x14ac:dyDescent="0.4">
      <c r="A794">
        <v>4</v>
      </c>
      <c r="B794" t="str">
        <f t="shared" si="24"/>
        <v>2023-08-01_0010</v>
      </c>
      <c r="C794" s="8">
        <v>45139</v>
      </c>
      <c r="D794" s="11">
        <v>10</v>
      </c>
      <c r="E794" s="12" t="s">
        <v>15</v>
      </c>
      <c r="F794" s="6">
        <v>45127</v>
      </c>
      <c r="G794" s="8" t="s">
        <v>36</v>
      </c>
      <c r="H794" s="10">
        <f t="shared" si="25"/>
        <v>12</v>
      </c>
      <c r="I794" s="9" t="s">
        <v>37</v>
      </c>
      <c r="J794" s="9" t="s">
        <v>36</v>
      </c>
      <c r="K794" s="19">
        <v>43.009</v>
      </c>
      <c r="L794" s="22">
        <v>2.2599999999999998</v>
      </c>
      <c r="M794" s="22">
        <v>1.9370000000000001</v>
      </c>
      <c r="N794" t="s">
        <v>14</v>
      </c>
    </row>
    <row r="795" spans="1:15" ht="16" x14ac:dyDescent="0.4">
      <c r="A795">
        <v>4</v>
      </c>
      <c r="B795" t="str">
        <f t="shared" si="24"/>
        <v>2023-08-01_0011</v>
      </c>
      <c r="C795" s="8">
        <v>45139</v>
      </c>
      <c r="D795" s="11">
        <v>11</v>
      </c>
      <c r="E795" s="12" t="s">
        <v>11</v>
      </c>
      <c r="F795" s="6">
        <v>45107</v>
      </c>
      <c r="G795" s="8" t="s">
        <v>36</v>
      </c>
      <c r="H795" s="10">
        <f t="shared" si="25"/>
        <v>32</v>
      </c>
      <c r="I795" s="9" t="s">
        <v>18</v>
      </c>
      <c r="J795" s="9" t="s">
        <v>36</v>
      </c>
      <c r="K795" s="19" t="s">
        <v>21</v>
      </c>
      <c r="L795" s="22">
        <v>2.5209999999999999</v>
      </c>
      <c r="M795" s="22">
        <v>2.1909999999999998</v>
      </c>
      <c r="N795" t="s">
        <v>16</v>
      </c>
      <c r="O795" t="s">
        <v>151</v>
      </c>
    </row>
    <row r="796" spans="1:15" ht="16" x14ac:dyDescent="0.4">
      <c r="A796">
        <v>4</v>
      </c>
      <c r="B796" t="str">
        <f t="shared" si="24"/>
        <v>2023-08-01_0012</v>
      </c>
      <c r="C796" s="8">
        <v>45139</v>
      </c>
      <c r="D796" s="11">
        <v>12</v>
      </c>
      <c r="E796" s="12" t="s">
        <v>15</v>
      </c>
      <c r="F796" s="6">
        <v>45131</v>
      </c>
      <c r="G796" s="8" t="s">
        <v>36</v>
      </c>
      <c r="H796" s="10">
        <f t="shared" si="25"/>
        <v>8</v>
      </c>
      <c r="I796" s="9" t="s">
        <v>38</v>
      </c>
      <c r="J796" s="9" t="s">
        <v>36</v>
      </c>
      <c r="K796" s="19">
        <v>46.457000000000001</v>
      </c>
      <c r="L796" s="22">
        <v>2.3740000000000001</v>
      </c>
      <c r="M796" s="22">
        <v>1.879</v>
      </c>
      <c r="N796" t="s">
        <v>25</v>
      </c>
    </row>
    <row r="797" spans="1:15" ht="16" x14ac:dyDescent="0.4">
      <c r="A797">
        <v>5</v>
      </c>
      <c r="B797" t="str">
        <f t="shared" si="24"/>
        <v>2023-08-01_0013</v>
      </c>
      <c r="C797" s="8">
        <v>45139</v>
      </c>
      <c r="D797" s="11">
        <v>13</v>
      </c>
      <c r="E797" s="12" t="s">
        <v>15</v>
      </c>
      <c r="F797" s="6">
        <v>45109</v>
      </c>
      <c r="G797" s="8" t="s">
        <v>36</v>
      </c>
      <c r="H797" s="10">
        <f t="shared" si="25"/>
        <v>30</v>
      </c>
      <c r="I797" s="9" t="s">
        <v>38</v>
      </c>
      <c r="J797" s="9" t="s">
        <v>36</v>
      </c>
      <c r="K797" s="19">
        <v>48.264000000000003</v>
      </c>
      <c r="L797" s="22">
        <v>2.4710000000000001</v>
      </c>
      <c r="M797" s="22">
        <v>2.0009999999999999</v>
      </c>
      <c r="N797" t="s">
        <v>25</v>
      </c>
    </row>
    <row r="798" spans="1:15" ht="16" x14ac:dyDescent="0.4">
      <c r="A798">
        <v>5</v>
      </c>
      <c r="B798" t="str">
        <f t="shared" si="24"/>
        <v>2023-08-01_0014</v>
      </c>
      <c r="C798" s="8">
        <v>45139</v>
      </c>
      <c r="D798" s="11">
        <v>14</v>
      </c>
      <c r="E798" s="12" t="s">
        <v>15</v>
      </c>
      <c r="F798" s="6">
        <v>45112</v>
      </c>
      <c r="G798" s="8" t="s">
        <v>39</v>
      </c>
      <c r="H798" s="10">
        <f t="shared" si="25"/>
        <v>27</v>
      </c>
      <c r="I798" s="9" t="s">
        <v>38</v>
      </c>
      <c r="J798" s="9" t="s">
        <v>39</v>
      </c>
      <c r="K798" s="19" t="s">
        <v>21</v>
      </c>
      <c r="L798" s="22">
        <v>2.1640000000000001</v>
      </c>
      <c r="M798" s="22">
        <v>1.8340000000000001</v>
      </c>
      <c r="N798" t="s">
        <v>13</v>
      </c>
      <c r="O798" t="s">
        <v>152</v>
      </c>
    </row>
    <row r="799" spans="1:15" ht="16" x14ac:dyDescent="0.4">
      <c r="A799">
        <v>5</v>
      </c>
      <c r="B799" t="str">
        <f t="shared" si="24"/>
        <v>2023-08-01_0015</v>
      </c>
      <c r="C799" s="8">
        <v>45139</v>
      </c>
      <c r="D799" s="11">
        <v>15</v>
      </c>
      <c r="E799" s="12" t="s">
        <v>15</v>
      </c>
      <c r="F799" s="6">
        <v>45121</v>
      </c>
      <c r="G799" s="8" t="s">
        <v>36</v>
      </c>
      <c r="H799" s="10">
        <f t="shared" si="25"/>
        <v>18</v>
      </c>
      <c r="I799" s="9" t="s">
        <v>38</v>
      </c>
      <c r="J799" s="9" t="s">
        <v>36</v>
      </c>
      <c r="K799" s="19">
        <v>45.146999999999998</v>
      </c>
      <c r="L799" s="22">
        <v>2.4239999999999999</v>
      </c>
      <c r="M799" s="22">
        <v>1.863</v>
      </c>
      <c r="N799" t="s">
        <v>25</v>
      </c>
    </row>
    <row r="800" spans="1:15" ht="16" x14ac:dyDescent="0.4">
      <c r="A800">
        <v>5</v>
      </c>
      <c r="B800" t="str">
        <f t="shared" si="24"/>
        <v>2023-08-01_0016</v>
      </c>
      <c r="C800" s="8">
        <v>45139</v>
      </c>
      <c r="D800" s="11">
        <v>16</v>
      </c>
      <c r="E800" s="12" t="s">
        <v>11</v>
      </c>
      <c r="F800" s="6">
        <v>45125</v>
      </c>
      <c r="G800" s="8" t="s">
        <v>39</v>
      </c>
      <c r="H800" s="10">
        <f t="shared" si="25"/>
        <v>14</v>
      </c>
      <c r="I800" s="9" t="s">
        <v>38</v>
      </c>
      <c r="J800" s="9" t="s">
        <v>36</v>
      </c>
      <c r="K800" s="19">
        <v>45.975999999999999</v>
      </c>
      <c r="L800" s="22">
        <v>2.3730000000000002</v>
      </c>
      <c r="M800" s="22">
        <v>1.8660000000000001</v>
      </c>
      <c r="N800" t="s">
        <v>25</v>
      </c>
      <c r="O800" t="s">
        <v>92</v>
      </c>
    </row>
    <row r="801" spans="1:15" ht="16" x14ac:dyDescent="0.4">
      <c r="A801">
        <v>6</v>
      </c>
      <c r="B801" t="str">
        <f t="shared" si="24"/>
        <v>2023-08-01_0017</v>
      </c>
      <c r="C801" s="8">
        <v>45139</v>
      </c>
      <c r="D801" s="11">
        <v>17</v>
      </c>
      <c r="E801" s="12" t="s">
        <v>11</v>
      </c>
      <c r="F801" s="6">
        <v>45107</v>
      </c>
      <c r="G801" s="8" t="s">
        <v>36</v>
      </c>
      <c r="H801" s="10">
        <f t="shared" si="25"/>
        <v>32</v>
      </c>
      <c r="I801" s="9" t="s">
        <v>38</v>
      </c>
      <c r="J801" s="9" t="s">
        <v>36</v>
      </c>
      <c r="K801" s="19" t="s">
        <v>21</v>
      </c>
      <c r="L801" s="22">
        <v>2.5630000000000002</v>
      </c>
      <c r="M801" s="22">
        <v>2.1080000000000001</v>
      </c>
      <c r="N801" t="s">
        <v>13</v>
      </c>
      <c r="O801" t="s">
        <v>110</v>
      </c>
    </row>
    <row r="802" spans="1:15" ht="16" x14ac:dyDescent="0.4">
      <c r="A802">
        <v>6</v>
      </c>
      <c r="B802" t="str">
        <f t="shared" si="24"/>
        <v>2023-08-01_0018</v>
      </c>
      <c r="C802" s="8">
        <v>45139</v>
      </c>
      <c r="D802" s="11">
        <v>18</v>
      </c>
      <c r="E802" s="12" t="s">
        <v>11</v>
      </c>
      <c r="F802" s="6">
        <v>45109</v>
      </c>
      <c r="G802" s="8" t="s">
        <v>36</v>
      </c>
      <c r="H802" s="10">
        <f t="shared" si="25"/>
        <v>30</v>
      </c>
      <c r="I802" s="9" t="s">
        <v>38</v>
      </c>
      <c r="J802" s="9" t="s">
        <v>36</v>
      </c>
      <c r="K802" s="19" t="s">
        <v>21</v>
      </c>
      <c r="L802" s="22">
        <v>2.65</v>
      </c>
      <c r="M802" s="22">
        <v>2.2050000000000001</v>
      </c>
      <c r="N802" t="s">
        <v>13</v>
      </c>
      <c r="O802" t="s">
        <v>87</v>
      </c>
    </row>
    <row r="803" spans="1:15" ht="16" x14ac:dyDescent="0.4">
      <c r="A803">
        <v>6</v>
      </c>
      <c r="B803" t="str">
        <f t="shared" si="24"/>
        <v>2023-08-01_0019</v>
      </c>
      <c r="C803" s="8">
        <v>45139</v>
      </c>
      <c r="D803" s="11">
        <v>19</v>
      </c>
      <c r="E803" s="12" t="s">
        <v>11</v>
      </c>
      <c r="F803" s="6">
        <v>45122</v>
      </c>
      <c r="G803" s="8" t="s">
        <v>36</v>
      </c>
      <c r="H803" s="10">
        <f t="shared" si="25"/>
        <v>17</v>
      </c>
      <c r="I803" s="9" t="s">
        <v>38</v>
      </c>
      <c r="J803" s="9" t="s">
        <v>36</v>
      </c>
      <c r="K803" s="19">
        <v>46.441000000000003</v>
      </c>
      <c r="L803" s="22">
        <v>2.5619999999999998</v>
      </c>
      <c r="M803" s="22">
        <v>2.1619999999999999</v>
      </c>
      <c r="N803" t="s">
        <v>25</v>
      </c>
    </row>
    <row r="804" spans="1:15" ht="16" x14ac:dyDescent="0.4">
      <c r="A804">
        <v>6</v>
      </c>
      <c r="B804" t="str">
        <f t="shared" si="24"/>
        <v>2023-08-01_0020</v>
      </c>
      <c r="C804" s="8">
        <v>45139</v>
      </c>
      <c r="D804" s="11">
        <v>20</v>
      </c>
      <c r="E804" s="12" t="s">
        <v>15</v>
      </c>
      <c r="F804" s="6">
        <v>45112</v>
      </c>
      <c r="G804" s="8" t="s">
        <v>39</v>
      </c>
      <c r="H804" s="10">
        <f t="shared" si="25"/>
        <v>27</v>
      </c>
      <c r="I804" s="9" t="s">
        <v>38</v>
      </c>
      <c r="J804" s="9" t="s">
        <v>36</v>
      </c>
      <c r="K804" s="19">
        <v>45.308</v>
      </c>
      <c r="L804" s="22">
        <v>2.496</v>
      </c>
      <c r="M804" s="22">
        <v>2.0219999999999998</v>
      </c>
      <c r="N804" t="s">
        <v>25</v>
      </c>
      <c r="O804" t="s">
        <v>153</v>
      </c>
    </row>
    <row r="805" spans="1:15" ht="16" x14ac:dyDescent="0.4">
      <c r="A805">
        <v>6</v>
      </c>
      <c r="B805" t="str">
        <f t="shared" si="24"/>
        <v>2023-08-01_0021</v>
      </c>
      <c r="C805" s="8">
        <v>45139</v>
      </c>
      <c r="D805" s="11">
        <v>21</v>
      </c>
      <c r="E805" s="12" t="s">
        <v>11</v>
      </c>
      <c r="F805" s="6">
        <v>45108</v>
      </c>
      <c r="G805" s="8" t="s">
        <v>36</v>
      </c>
      <c r="H805" s="10">
        <f t="shared" si="25"/>
        <v>31</v>
      </c>
      <c r="I805" s="9" t="s">
        <v>38</v>
      </c>
      <c r="J805" s="9" t="s">
        <v>36</v>
      </c>
      <c r="K805" s="19" t="s">
        <v>21</v>
      </c>
      <c r="L805" s="22">
        <v>2.4009999999999998</v>
      </c>
      <c r="M805" s="22">
        <v>1.952</v>
      </c>
      <c r="N805" t="s">
        <v>13</v>
      </c>
      <c r="O805" t="s">
        <v>154</v>
      </c>
    </row>
    <row r="806" spans="1:15" ht="16" x14ac:dyDescent="0.4">
      <c r="A806">
        <v>6</v>
      </c>
      <c r="B806" t="str">
        <f t="shared" si="24"/>
        <v>2023-08-01_0022</v>
      </c>
      <c r="C806" s="8">
        <v>45139</v>
      </c>
      <c r="D806" s="11">
        <v>22</v>
      </c>
      <c r="E806" s="12" t="s">
        <v>11</v>
      </c>
      <c r="F806" s="6">
        <v>45109</v>
      </c>
      <c r="G806" s="8" t="s">
        <v>36</v>
      </c>
      <c r="H806" s="10">
        <f t="shared" si="25"/>
        <v>30</v>
      </c>
      <c r="I806" s="9" t="s">
        <v>38</v>
      </c>
      <c r="J806" s="9" t="s">
        <v>36</v>
      </c>
      <c r="K806" s="19" t="s">
        <v>21</v>
      </c>
      <c r="L806" s="22">
        <v>2.7490000000000001</v>
      </c>
      <c r="M806" s="22">
        <v>2.302</v>
      </c>
      <c r="N806" t="s">
        <v>13</v>
      </c>
      <c r="O806" t="s">
        <v>104</v>
      </c>
    </row>
    <row r="807" spans="1:15" ht="16" x14ac:dyDescent="0.4">
      <c r="A807">
        <v>6</v>
      </c>
      <c r="B807" t="str">
        <f t="shared" si="24"/>
        <v>2023-08-01_0023</v>
      </c>
      <c r="C807" s="8">
        <v>45139</v>
      </c>
      <c r="D807" s="11">
        <v>23</v>
      </c>
      <c r="E807" s="12" t="s">
        <v>11</v>
      </c>
      <c r="F807" s="6">
        <v>45128</v>
      </c>
      <c r="G807" s="8" t="s">
        <v>36</v>
      </c>
      <c r="H807" s="10">
        <f t="shared" si="25"/>
        <v>11</v>
      </c>
      <c r="I807" s="9" t="s">
        <v>38</v>
      </c>
      <c r="J807" s="9" t="s">
        <v>36</v>
      </c>
      <c r="K807" s="19" t="s">
        <v>21</v>
      </c>
      <c r="L807" s="22">
        <v>2.4319999999999999</v>
      </c>
      <c r="M807" s="22">
        <v>2.0310000000000001</v>
      </c>
      <c r="N807" t="s">
        <v>13</v>
      </c>
      <c r="O807" t="s">
        <v>154</v>
      </c>
    </row>
    <row r="808" spans="1:15" ht="16" x14ac:dyDescent="0.4">
      <c r="A808">
        <v>6</v>
      </c>
      <c r="B808" t="str">
        <f t="shared" si="24"/>
        <v>2023-08-01_0024</v>
      </c>
      <c r="C808" s="8">
        <v>45139</v>
      </c>
      <c r="D808" s="11">
        <v>24</v>
      </c>
      <c r="E808" s="12" t="s">
        <v>11</v>
      </c>
      <c r="F808" s="6">
        <v>45125</v>
      </c>
      <c r="G808" s="8" t="s">
        <v>39</v>
      </c>
      <c r="H808" s="10">
        <f t="shared" si="25"/>
        <v>14</v>
      </c>
      <c r="I808" s="9" t="s">
        <v>12</v>
      </c>
      <c r="J808" s="9" t="s">
        <v>39</v>
      </c>
      <c r="K808" s="19" t="s">
        <v>21</v>
      </c>
      <c r="L808" s="22">
        <v>1.9039999999999999</v>
      </c>
      <c r="M808" s="22">
        <v>1.6879999999999999</v>
      </c>
      <c r="N808" t="s">
        <v>13</v>
      </c>
      <c r="O808" t="s">
        <v>154</v>
      </c>
    </row>
    <row r="809" spans="1:15" ht="16" x14ac:dyDescent="0.4">
      <c r="A809">
        <v>6</v>
      </c>
      <c r="B809" t="str">
        <f t="shared" si="24"/>
        <v>2023-08-01_0025</v>
      </c>
      <c r="C809" s="8">
        <v>45139</v>
      </c>
      <c r="D809" s="11">
        <v>25</v>
      </c>
      <c r="E809" s="12" t="s">
        <v>11</v>
      </c>
      <c r="F809" s="6">
        <v>45109</v>
      </c>
      <c r="G809" s="9" t="s">
        <v>36</v>
      </c>
      <c r="H809" s="10">
        <f t="shared" si="25"/>
        <v>30</v>
      </c>
      <c r="I809" s="9" t="s">
        <v>38</v>
      </c>
      <c r="J809" s="9" t="s">
        <v>36</v>
      </c>
      <c r="K809" s="19">
        <v>47.26</v>
      </c>
      <c r="L809" s="22">
        <v>2.7690000000000001</v>
      </c>
      <c r="M809" s="22">
        <v>2.0579999999999998</v>
      </c>
      <c r="N809" t="s">
        <v>14</v>
      </c>
      <c r="O809" t="s">
        <v>144</v>
      </c>
    </row>
    <row r="810" spans="1:15" ht="16" x14ac:dyDescent="0.4">
      <c r="A810">
        <v>6</v>
      </c>
      <c r="B810" t="str">
        <f t="shared" si="24"/>
        <v>2023-08-01_0026</v>
      </c>
      <c r="C810" s="8">
        <v>45139</v>
      </c>
      <c r="D810" s="11">
        <v>26</v>
      </c>
      <c r="E810" s="12" t="s">
        <v>11</v>
      </c>
      <c r="F810" s="6">
        <v>45109</v>
      </c>
      <c r="G810" s="9" t="s">
        <v>36</v>
      </c>
      <c r="H810" s="10">
        <f t="shared" si="25"/>
        <v>30</v>
      </c>
      <c r="I810" s="9" t="s">
        <v>38</v>
      </c>
      <c r="J810" s="9" t="s">
        <v>36</v>
      </c>
      <c r="K810" s="19" t="s">
        <v>21</v>
      </c>
      <c r="L810" s="22">
        <v>2.7989999999999999</v>
      </c>
      <c r="M810" s="22">
        <v>2.351</v>
      </c>
      <c r="N810" t="s">
        <v>16</v>
      </c>
      <c r="O810" t="s">
        <v>155</v>
      </c>
    </row>
    <row r="811" spans="1:15" ht="16" x14ac:dyDescent="0.4">
      <c r="A811">
        <v>6</v>
      </c>
      <c r="B811" t="str">
        <f t="shared" si="24"/>
        <v>2023-08-01_0027</v>
      </c>
      <c r="C811" s="8">
        <v>45139</v>
      </c>
      <c r="D811" s="11">
        <v>27</v>
      </c>
      <c r="E811" s="12" t="s">
        <v>11</v>
      </c>
      <c r="F811" s="6">
        <v>45097</v>
      </c>
      <c r="G811" s="9" t="s">
        <v>39</v>
      </c>
      <c r="H811" s="10">
        <f t="shared" si="25"/>
        <v>42</v>
      </c>
      <c r="I811" s="9" t="s">
        <v>38</v>
      </c>
      <c r="J811" s="9" t="s">
        <v>36</v>
      </c>
      <c r="K811" s="19" t="s">
        <v>21</v>
      </c>
      <c r="L811" s="22">
        <v>2.5830000000000002</v>
      </c>
      <c r="M811" s="22">
        <v>2.0209999999999999</v>
      </c>
      <c r="N811" t="s">
        <v>16</v>
      </c>
      <c r="O811" t="s">
        <v>24</v>
      </c>
    </row>
    <row r="812" spans="1:15" ht="16" x14ac:dyDescent="0.4">
      <c r="A812">
        <v>6</v>
      </c>
      <c r="B812" t="str">
        <f t="shared" si="24"/>
        <v>2023-08-01_0028</v>
      </c>
      <c r="C812" s="8">
        <v>45139</v>
      </c>
      <c r="D812" s="11">
        <v>28</v>
      </c>
      <c r="E812" s="12" t="s">
        <v>15</v>
      </c>
      <c r="F812" s="6">
        <v>45108</v>
      </c>
      <c r="G812" s="9" t="s">
        <v>36</v>
      </c>
      <c r="H812" s="10">
        <f t="shared" si="25"/>
        <v>31</v>
      </c>
      <c r="I812" s="9" t="s">
        <v>17</v>
      </c>
      <c r="J812" s="9" t="s">
        <v>36</v>
      </c>
      <c r="K812" s="19">
        <v>38.856999999999999</v>
      </c>
      <c r="L812" s="22">
        <v>2.2029999999999998</v>
      </c>
      <c r="M812" s="22">
        <v>1.71</v>
      </c>
      <c r="N812" t="s">
        <v>14</v>
      </c>
    </row>
    <row r="813" spans="1:15" ht="16" x14ac:dyDescent="0.4">
      <c r="A813">
        <v>6</v>
      </c>
      <c r="B813" t="str">
        <f t="shared" si="24"/>
        <v>2023-08-01_0029</v>
      </c>
      <c r="C813" s="8">
        <v>45139</v>
      </c>
      <c r="D813" s="11">
        <v>29</v>
      </c>
      <c r="E813" s="12" t="s">
        <v>15</v>
      </c>
      <c r="F813" s="6">
        <v>45107</v>
      </c>
      <c r="G813" s="9" t="s">
        <v>36</v>
      </c>
      <c r="H813" s="10">
        <f t="shared" si="25"/>
        <v>32</v>
      </c>
      <c r="I813" s="9" t="s">
        <v>17</v>
      </c>
      <c r="J813" s="9" t="s">
        <v>36</v>
      </c>
      <c r="K813" s="19">
        <v>44.613999999999997</v>
      </c>
      <c r="L813" s="22">
        <v>2.4279999999999999</v>
      </c>
      <c r="M813" s="22">
        <v>1.9770000000000001</v>
      </c>
      <c r="N813" t="s">
        <v>14</v>
      </c>
    </row>
    <row r="814" spans="1:15" ht="16" x14ac:dyDescent="0.4">
      <c r="A814">
        <v>6</v>
      </c>
      <c r="B814" t="str">
        <f t="shared" si="24"/>
        <v>2023-08-01_0030</v>
      </c>
      <c r="C814" s="8">
        <v>45139</v>
      </c>
      <c r="D814" s="11">
        <v>30</v>
      </c>
      <c r="E814" s="12" t="s">
        <v>11</v>
      </c>
      <c r="F814" s="6">
        <v>45108</v>
      </c>
      <c r="G814" s="9" t="s">
        <v>36</v>
      </c>
      <c r="H814" s="10">
        <f t="shared" si="25"/>
        <v>31</v>
      </c>
      <c r="I814" s="9" t="s">
        <v>38</v>
      </c>
      <c r="J814" s="9" t="s">
        <v>39</v>
      </c>
      <c r="K814" s="19" t="s">
        <v>21</v>
      </c>
      <c r="L814" s="22">
        <v>2.6280000000000001</v>
      </c>
      <c r="M814" s="22">
        <v>2.0910000000000002</v>
      </c>
      <c r="N814" t="s">
        <v>16</v>
      </c>
      <c r="O814" t="s">
        <v>156</v>
      </c>
    </row>
    <row r="815" spans="1:15" ht="16" x14ac:dyDescent="0.4">
      <c r="A815">
        <v>2</v>
      </c>
      <c r="B815" t="str">
        <f t="shared" si="24"/>
        <v>2023-07-31_0001</v>
      </c>
      <c r="C815" s="8">
        <v>45138</v>
      </c>
      <c r="D815" s="11">
        <v>1</v>
      </c>
      <c r="E815" s="12" t="s">
        <v>15</v>
      </c>
      <c r="F815" s="6">
        <v>45127</v>
      </c>
      <c r="G815" s="8" t="s">
        <v>36</v>
      </c>
      <c r="H815" s="10">
        <f t="shared" si="25"/>
        <v>11</v>
      </c>
      <c r="I815" s="9" t="s">
        <v>12</v>
      </c>
      <c r="J815" s="9" t="s">
        <v>36</v>
      </c>
      <c r="K815" s="19">
        <v>48.945999999999998</v>
      </c>
      <c r="L815" s="22">
        <v>2.4239999999999999</v>
      </c>
      <c r="M815" s="22">
        <v>2.0390000000000001</v>
      </c>
      <c r="N815" t="s">
        <v>14</v>
      </c>
    </row>
    <row r="816" spans="1:15" ht="16" x14ac:dyDescent="0.4">
      <c r="A816">
        <v>2</v>
      </c>
      <c r="B816" t="str">
        <f t="shared" si="24"/>
        <v>2023-07-31_0002</v>
      </c>
      <c r="C816" s="8">
        <v>45138</v>
      </c>
      <c r="D816" s="11">
        <v>2</v>
      </c>
      <c r="E816" s="12" t="s">
        <v>11</v>
      </c>
      <c r="F816" s="6">
        <v>45104</v>
      </c>
      <c r="G816" s="8" t="s">
        <v>36</v>
      </c>
      <c r="H816" s="10">
        <f t="shared" si="25"/>
        <v>34</v>
      </c>
      <c r="I816" s="9" t="s">
        <v>12</v>
      </c>
      <c r="J816" s="9" t="s">
        <v>36</v>
      </c>
      <c r="K816" s="19" t="s">
        <v>21</v>
      </c>
      <c r="L816" s="22">
        <v>2.5510000000000002</v>
      </c>
      <c r="M816" s="22">
        <v>1.948</v>
      </c>
      <c r="N816" t="s">
        <v>16</v>
      </c>
      <c r="O816" t="s">
        <v>87</v>
      </c>
    </row>
    <row r="817" spans="1:15" ht="16" x14ac:dyDescent="0.4">
      <c r="A817">
        <v>2</v>
      </c>
      <c r="B817" t="str">
        <f t="shared" si="24"/>
        <v>2023-07-31_0003</v>
      </c>
      <c r="C817" s="8">
        <v>45138</v>
      </c>
      <c r="D817" s="11">
        <v>3</v>
      </c>
      <c r="E817" s="12" t="s">
        <v>11</v>
      </c>
      <c r="F817" s="6">
        <v>45125</v>
      </c>
      <c r="G817" s="8" t="s">
        <v>36</v>
      </c>
      <c r="H817" s="10">
        <f t="shared" si="25"/>
        <v>13</v>
      </c>
      <c r="I817" s="9" t="s">
        <v>12</v>
      </c>
      <c r="J817" s="9" t="s">
        <v>36</v>
      </c>
      <c r="K817" s="19">
        <v>45.064</v>
      </c>
      <c r="L817" s="22">
        <v>2.34</v>
      </c>
      <c r="M817" s="22">
        <v>1.8919999999999999</v>
      </c>
      <c r="N817" t="s">
        <v>14</v>
      </c>
    </row>
    <row r="818" spans="1:15" ht="16" x14ac:dyDescent="0.4">
      <c r="A818">
        <v>2</v>
      </c>
      <c r="B818" t="str">
        <f t="shared" si="24"/>
        <v>2023-07-31_0004</v>
      </c>
      <c r="C818" s="8">
        <v>45138</v>
      </c>
      <c r="D818" s="11">
        <v>4</v>
      </c>
      <c r="E818" s="12" t="s">
        <v>11</v>
      </c>
      <c r="F818" s="6">
        <v>45105</v>
      </c>
      <c r="G818" s="8" t="s">
        <v>36</v>
      </c>
      <c r="H818" s="10">
        <f t="shared" si="25"/>
        <v>33</v>
      </c>
      <c r="I818" s="9" t="s">
        <v>12</v>
      </c>
      <c r="J818" s="9" t="s">
        <v>36</v>
      </c>
      <c r="K818" s="19">
        <v>41.749000000000002</v>
      </c>
      <c r="L818" s="22">
        <v>2.2639999999999998</v>
      </c>
      <c r="M818" s="22">
        <v>1.958</v>
      </c>
      <c r="N818" t="s">
        <v>14</v>
      </c>
      <c r="O818" t="s">
        <v>157</v>
      </c>
    </row>
    <row r="819" spans="1:15" ht="16" x14ac:dyDescent="0.4">
      <c r="A819">
        <v>2</v>
      </c>
      <c r="B819" t="str">
        <f t="shared" si="24"/>
        <v>2023-07-31_0005</v>
      </c>
      <c r="C819" s="8">
        <v>45138</v>
      </c>
      <c r="D819" s="11">
        <v>5</v>
      </c>
      <c r="E819" s="12" t="s">
        <v>11</v>
      </c>
      <c r="F819" s="6">
        <v>45122</v>
      </c>
      <c r="G819" s="8" t="s">
        <v>36</v>
      </c>
      <c r="H819" s="10">
        <f t="shared" si="25"/>
        <v>16</v>
      </c>
      <c r="I819" s="9" t="s">
        <v>12</v>
      </c>
      <c r="J819" s="9" t="s">
        <v>36</v>
      </c>
      <c r="K819" s="19">
        <v>46.746000000000002</v>
      </c>
      <c r="L819" s="22">
        <v>2.4249999999999998</v>
      </c>
      <c r="M819" s="22">
        <v>1.7649999999999999</v>
      </c>
      <c r="N819" t="s">
        <v>25</v>
      </c>
      <c r="O819" t="s">
        <v>158</v>
      </c>
    </row>
    <row r="820" spans="1:15" ht="16" x14ac:dyDescent="0.4">
      <c r="A820">
        <v>2</v>
      </c>
      <c r="B820" t="str">
        <f t="shared" si="24"/>
        <v>2023-07-31_0006</v>
      </c>
      <c r="C820" s="8">
        <v>45138</v>
      </c>
      <c r="D820" s="11">
        <v>6</v>
      </c>
      <c r="E820" s="12" t="s">
        <v>11</v>
      </c>
      <c r="F820" s="6">
        <v>45127</v>
      </c>
      <c r="G820" s="8" t="s">
        <v>36</v>
      </c>
      <c r="H820" s="10">
        <f t="shared" si="25"/>
        <v>11</v>
      </c>
      <c r="I820" s="9" t="s">
        <v>12</v>
      </c>
      <c r="J820" s="9" t="s">
        <v>36</v>
      </c>
      <c r="K820" s="19">
        <v>48.12</v>
      </c>
      <c r="L820" s="22">
        <v>2.3780000000000001</v>
      </c>
      <c r="M820" s="22">
        <v>1.9</v>
      </c>
      <c r="N820" t="s">
        <v>14</v>
      </c>
    </row>
    <row r="821" spans="1:15" ht="16" x14ac:dyDescent="0.4">
      <c r="A821">
        <v>2</v>
      </c>
      <c r="B821" t="str">
        <f t="shared" si="24"/>
        <v>2023-07-31_0007</v>
      </c>
      <c r="C821" s="8">
        <v>45138</v>
      </c>
      <c r="D821" s="11">
        <v>7</v>
      </c>
      <c r="E821" s="12" t="s">
        <v>11</v>
      </c>
      <c r="F821" s="6">
        <v>45104</v>
      </c>
      <c r="G821" s="8" t="s">
        <v>36</v>
      </c>
      <c r="H821" s="10">
        <f t="shared" si="25"/>
        <v>34</v>
      </c>
      <c r="I821" s="9" t="s">
        <v>12</v>
      </c>
      <c r="J821" s="9" t="s">
        <v>36</v>
      </c>
      <c r="K821" s="19" t="s">
        <v>21</v>
      </c>
      <c r="L821" s="22">
        <v>2.3690000000000002</v>
      </c>
      <c r="M821" s="22">
        <v>1.982</v>
      </c>
      <c r="N821" t="s">
        <v>16</v>
      </c>
      <c r="O821" t="s">
        <v>151</v>
      </c>
    </row>
    <row r="822" spans="1:15" ht="16" x14ac:dyDescent="0.4">
      <c r="A822">
        <v>2</v>
      </c>
      <c r="B822" t="str">
        <f t="shared" si="24"/>
        <v>2023-07-31_0008</v>
      </c>
      <c r="C822" s="8">
        <v>45138</v>
      </c>
      <c r="D822" s="11">
        <v>8</v>
      </c>
      <c r="E822" s="12" t="s">
        <v>15</v>
      </c>
      <c r="F822" s="6">
        <v>45113</v>
      </c>
      <c r="G822" s="8" t="s">
        <v>36</v>
      </c>
      <c r="H822" s="10">
        <f t="shared" si="25"/>
        <v>25</v>
      </c>
      <c r="I822" s="9" t="s">
        <v>12</v>
      </c>
      <c r="J822" s="9" t="s">
        <v>36</v>
      </c>
      <c r="K822" s="19">
        <v>44.88</v>
      </c>
      <c r="L822" s="22">
        <v>2.2949999999999999</v>
      </c>
      <c r="M822" s="22">
        <v>1.911</v>
      </c>
      <c r="N822" t="s">
        <v>14</v>
      </c>
    </row>
    <row r="823" spans="1:15" ht="16" x14ac:dyDescent="0.4">
      <c r="A823">
        <v>2</v>
      </c>
      <c r="B823" t="str">
        <f t="shared" si="24"/>
        <v>2023-07-31_0009</v>
      </c>
      <c r="C823" s="8">
        <v>45138</v>
      </c>
      <c r="D823" s="11">
        <v>9</v>
      </c>
      <c r="E823" s="12" t="s">
        <v>15</v>
      </c>
      <c r="F823" s="6">
        <v>45053</v>
      </c>
      <c r="G823" s="8" t="s">
        <v>39</v>
      </c>
      <c r="H823" s="10">
        <f t="shared" si="25"/>
        <v>85</v>
      </c>
      <c r="I823" s="9" t="s">
        <v>159</v>
      </c>
      <c r="J823" s="9" t="s">
        <v>39</v>
      </c>
      <c r="K823" s="19">
        <v>43.384</v>
      </c>
      <c r="L823" s="22">
        <v>2.27</v>
      </c>
      <c r="M823" s="22">
        <v>1.829</v>
      </c>
      <c r="N823" t="s">
        <v>14</v>
      </c>
      <c r="O823" t="s">
        <v>160</v>
      </c>
    </row>
    <row r="824" spans="1:15" ht="16" x14ac:dyDescent="0.4">
      <c r="A824">
        <v>2</v>
      </c>
      <c r="B824" t="str">
        <f t="shared" si="24"/>
        <v>2023-07-31_0010</v>
      </c>
      <c r="C824" s="8">
        <v>45138</v>
      </c>
      <c r="D824" s="11">
        <v>10</v>
      </c>
      <c r="E824" s="12" t="s">
        <v>15</v>
      </c>
      <c r="F824" s="6">
        <v>45109</v>
      </c>
      <c r="G824" s="8" t="s">
        <v>36</v>
      </c>
      <c r="H824" s="10">
        <f t="shared" si="25"/>
        <v>29</v>
      </c>
      <c r="I824" s="9" t="s">
        <v>12</v>
      </c>
      <c r="J824" s="9" t="s">
        <v>36</v>
      </c>
      <c r="K824" s="19">
        <v>46.33</v>
      </c>
      <c r="L824" s="22">
        <v>2.3199999999999998</v>
      </c>
      <c r="M824" s="22">
        <v>1.9410000000000001</v>
      </c>
      <c r="N824" t="s">
        <v>14</v>
      </c>
    </row>
    <row r="825" spans="1:15" ht="16" x14ac:dyDescent="0.4">
      <c r="A825">
        <v>2</v>
      </c>
      <c r="B825" t="str">
        <f t="shared" si="24"/>
        <v>2023-07-31_0011</v>
      </c>
      <c r="C825" s="8">
        <v>45138</v>
      </c>
      <c r="D825" s="11">
        <v>11</v>
      </c>
      <c r="E825" s="12" t="s">
        <v>15</v>
      </c>
      <c r="F825" s="6">
        <v>45105</v>
      </c>
      <c r="G825" s="8" t="s">
        <v>36</v>
      </c>
      <c r="H825" s="10">
        <f t="shared" si="25"/>
        <v>33</v>
      </c>
      <c r="I825" s="9" t="s">
        <v>12</v>
      </c>
      <c r="J825" s="9" t="s">
        <v>36</v>
      </c>
      <c r="K825" s="19">
        <v>48.448999999999998</v>
      </c>
      <c r="L825" s="22">
        <v>2.411</v>
      </c>
      <c r="M825" s="22">
        <v>1.9670000000000001</v>
      </c>
      <c r="N825" t="s">
        <v>14</v>
      </c>
      <c r="O825" t="s">
        <v>161</v>
      </c>
    </row>
    <row r="826" spans="1:15" ht="16" x14ac:dyDescent="0.4">
      <c r="A826">
        <v>2</v>
      </c>
      <c r="B826" t="str">
        <f t="shared" si="24"/>
        <v>2023-07-31_0012</v>
      </c>
      <c r="C826" s="8">
        <v>45138</v>
      </c>
      <c r="D826" s="11">
        <v>12</v>
      </c>
      <c r="E826" s="12" t="s">
        <v>15</v>
      </c>
      <c r="F826" s="6">
        <v>45104</v>
      </c>
      <c r="G826" s="8" t="s">
        <v>36</v>
      </c>
      <c r="H826" s="10">
        <f t="shared" si="25"/>
        <v>34</v>
      </c>
      <c r="I826" s="9" t="s">
        <v>12</v>
      </c>
      <c r="J826" s="9" t="s">
        <v>36</v>
      </c>
      <c r="K826" s="19">
        <v>49.506</v>
      </c>
      <c r="L826" s="22">
        <v>2.44</v>
      </c>
      <c r="M826" s="22">
        <v>2.1309999999999998</v>
      </c>
      <c r="N826" t="s">
        <v>14</v>
      </c>
      <c r="O826" t="s">
        <v>157</v>
      </c>
    </row>
    <row r="827" spans="1:15" ht="16" x14ac:dyDescent="0.4">
      <c r="A827">
        <v>2</v>
      </c>
      <c r="B827" t="str">
        <f t="shared" si="24"/>
        <v>2023-07-31_0013</v>
      </c>
      <c r="C827" s="8">
        <v>45138</v>
      </c>
      <c r="D827" s="11">
        <v>13</v>
      </c>
      <c r="E827" s="12" t="s">
        <v>11</v>
      </c>
      <c r="F827" s="6">
        <v>45104</v>
      </c>
      <c r="G827" s="8" t="s">
        <v>39</v>
      </c>
      <c r="H827" s="10">
        <f t="shared" si="25"/>
        <v>34</v>
      </c>
      <c r="I827" s="9" t="s">
        <v>12</v>
      </c>
      <c r="J827" s="9" t="s">
        <v>36</v>
      </c>
      <c r="K827" s="19" t="s">
        <v>21</v>
      </c>
      <c r="L827" s="22">
        <v>2.3679999999999999</v>
      </c>
      <c r="M827" s="22">
        <v>2.0049999999999999</v>
      </c>
      <c r="N827" t="s">
        <v>16</v>
      </c>
      <c r="O827" t="s">
        <v>87</v>
      </c>
    </row>
    <row r="828" spans="1:15" ht="16" x14ac:dyDescent="0.4">
      <c r="A828">
        <v>2</v>
      </c>
      <c r="B828" t="str">
        <f t="shared" si="24"/>
        <v>2023-07-31_0014</v>
      </c>
      <c r="C828" s="8">
        <v>45138</v>
      </c>
      <c r="D828" s="11">
        <v>14</v>
      </c>
      <c r="E828" s="12" t="s">
        <v>15</v>
      </c>
      <c r="F828" s="6">
        <v>45109</v>
      </c>
      <c r="G828" s="8" t="s">
        <v>36</v>
      </c>
      <c r="H828" s="10">
        <f t="shared" si="25"/>
        <v>29</v>
      </c>
      <c r="I828" s="9" t="s">
        <v>12</v>
      </c>
      <c r="J828" s="9" t="s">
        <v>36</v>
      </c>
      <c r="K828" s="19">
        <v>48.860999999999997</v>
      </c>
      <c r="L828" s="22">
        <v>2.5009999999999999</v>
      </c>
      <c r="M828" s="22">
        <v>2.0840000000000001</v>
      </c>
      <c r="N828" t="s">
        <v>14</v>
      </c>
    </row>
    <row r="829" spans="1:15" ht="16" x14ac:dyDescent="0.4">
      <c r="A829">
        <v>3</v>
      </c>
      <c r="B829" t="str">
        <f t="shared" si="24"/>
        <v>2023-07-31_0015</v>
      </c>
      <c r="C829" s="8">
        <v>45138</v>
      </c>
      <c r="D829" s="11">
        <v>15</v>
      </c>
      <c r="E829" s="12" t="s">
        <v>15</v>
      </c>
      <c r="F829" s="6">
        <v>45108</v>
      </c>
      <c r="G829" s="8" t="s">
        <v>36</v>
      </c>
      <c r="H829" s="10">
        <f t="shared" si="25"/>
        <v>30</v>
      </c>
      <c r="I829" s="9" t="s">
        <v>12</v>
      </c>
      <c r="J829" s="9" t="s">
        <v>36</v>
      </c>
      <c r="K829" s="19">
        <v>45.593000000000004</v>
      </c>
      <c r="L829" s="22">
        <v>2.2639999999999998</v>
      </c>
      <c r="M829" s="22">
        <v>1.88</v>
      </c>
      <c r="N829" t="s">
        <v>14</v>
      </c>
    </row>
    <row r="830" spans="1:15" ht="16" x14ac:dyDescent="0.4">
      <c r="A830">
        <v>3</v>
      </c>
      <c r="B830" t="str">
        <f t="shared" si="24"/>
        <v>2023-07-31_0016</v>
      </c>
      <c r="C830" s="8">
        <v>45138</v>
      </c>
      <c r="D830" s="11">
        <v>16</v>
      </c>
      <c r="E830" s="12" t="s">
        <v>11</v>
      </c>
      <c r="F830" s="6">
        <v>45109</v>
      </c>
      <c r="G830" s="8" t="s">
        <v>36</v>
      </c>
      <c r="H830" s="10">
        <f t="shared" si="25"/>
        <v>29</v>
      </c>
      <c r="I830" s="9" t="s">
        <v>12</v>
      </c>
      <c r="J830" s="9" t="s">
        <v>36</v>
      </c>
      <c r="K830" s="19" t="s">
        <v>21</v>
      </c>
      <c r="L830" s="22">
        <v>2.496</v>
      </c>
      <c r="M830" s="22">
        <v>1.9430000000000001</v>
      </c>
      <c r="N830" t="s">
        <v>16</v>
      </c>
      <c r="O830" t="s">
        <v>104</v>
      </c>
    </row>
    <row r="831" spans="1:15" ht="16" x14ac:dyDescent="0.4">
      <c r="A831">
        <v>3</v>
      </c>
      <c r="B831" t="str">
        <f t="shared" si="24"/>
        <v>2023-07-31_0017</v>
      </c>
      <c r="C831" s="8">
        <v>45138</v>
      </c>
      <c r="D831" s="11">
        <v>17</v>
      </c>
      <c r="E831" s="12" t="s">
        <v>11</v>
      </c>
      <c r="F831" s="6">
        <v>45107</v>
      </c>
      <c r="G831" s="8" t="s">
        <v>39</v>
      </c>
      <c r="H831" s="10">
        <f t="shared" si="25"/>
        <v>31</v>
      </c>
      <c r="I831" s="9" t="s">
        <v>12</v>
      </c>
      <c r="J831" s="9" t="s">
        <v>39</v>
      </c>
      <c r="K831" s="19" t="s">
        <v>21</v>
      </c>
      <c r="L831" s="22">
        <v>2.488</v>
      </c>
      <c r="M831" s="22">
        <v>2.0070000000000001</v>
      </c>
      <c r="N831" t="s">
        <v>16</v>
      </c>
      <c r="O831" t="s">
        <v>162</v>
      </c>
    </row>
    <row r="832" spans="1:15" ht="16" x14ac:dyDescent="0.4">
      <c r="A832">
        <v>43</v>
      </c>
      <c r="B832" t="str">
        <f t="shared" si="24"/>
        <v>2023-07-26_0001</v>
      </c>
      <c r="C832" s="8">
        <v>45133</v>
      </c>
      <c r="D832" s="11">
        <v>1</v>
      </c>
      <c r="E832" s="12" t="s">
        <v>15</v>
      </c>
      <c r="F832" s="6">
        <v>45109</v>
      </c>
      <c r="G832" s="9" t="s">
        <v>36</v>
      </c>
      <c r="H832" s="9">
        <f t="shared" si="25"/>
        <v>24</v>
      </c>
      <c r="I832" s="9" t="s">
        <v>38</v>
      </c>
      <c r="J832" s="9" t="s">
        <v>36</v>
      </c>
      <c r="K832" s="19">
        <v>46.503</v>
      </c>
      <c r="L832" s="22">
        <v>2.605</v>
      </c>
      <c r="M832" s="22">
        <v>2.0910000000000002</v>
      </c>
      <c r="N832" t="s">
        <v>14</v>
      </c>
    </row>
    <row r="833" spans="1:15" ht="16" x14ac:dyDescent="0.4">
      <c r="A833">
        <v>43</v>
      </c>
      <c r="B833" t="str">
        <f t="shared" si="24"/>
        <v>2023-07-26_0002</v>
      </c>
      <c r="C833" s="8">
        <v>45133</v>
      </c>
      <c r="D833" s="11">
        <v>2</v>
      </c>
      <c r="E833" s="12" t="s">
        <v>15</v>
      </c>
      <c r="F833" s="6">
        <v>45129</v>
      </c>
      <c r="G833" s="9" t="s">
        <v>36</v>
      </c>
      <c r="H833" s="9">
        <f t="shared" si="25"/>
        <v>4</v>
      </c>
      <c r="I833" s="9" t="s">
        <v>12</v>
      </c>
      <c r="J833" s="9" t="s">
        <v>36</v>
      </c>
      <c r="K833" s="19">
        <v>42.420999999999999</v>
      </c>
      <c r="L833" s="22">
        <v>2.2269999999999999</v>
      </c>
      <c r="M833" s="22">
        <v>1.9630000000000001</v>
      </c>
      <c r="N833" t="s">
        <v>14</v>
      </c>
    </row>
    <row r="834" spans="1:15" ht="16" x14ac:dyDescent="0.4">
      <c r="A834">
        <v>43</v>
      </c>
      <c r="B834" t="str">
        <f t="shared" ref="B834:B897" si="26">IF(ISBLANK(C834),NA(),_xlfn.CONCAT(TEXT(C834,"YYYY-MM-DD"),"_",TEXT(D834,"0000")))</f>
        <v>2023-07-26_0003</v>
      </c>
      <c r="C834" s="8">
        <v>45133</v>
      </c>
      <c r="D834" s="11">
        <v>3</v>
      </c>
      <c r="E834" s="12" t="s">
        <v>11</v>
      </c>
      <c r="F834" s="6">
        <v>45121</v>
      </c>
      <c r="G834" s="9" t="s">
        <v>39</v>
      </c>
      <c r="H834" s="9">
        <f t="shared" ref="H834:H897" si="27">IF(F834="NA","NA", DATEDIF(F834,C834,"d"))</f>
        <v>12</v>
      </c>
      <c r="I834" s="9" t="s">
        <v>38</v>
      </c>
      <c r="J834" s="9" t="s">
        <v>36</v>
      </c>
      <c r="K834" s="19">
        <v>42.844000000000001</v>
      </c>
      <c r="L834" s="22">
        <v>2.2999999999999998</v>
      </c>
      <c r="M834" s="22">
        <v>1.9790000000000001</v>
      </c>
      <c r="N834" t="s">
        <v>14</v>
      </c>
      <c r="O834" t="s">
        <v>40</v>
      </c>
    </row>
    <row r="835" spans="1:15" ht="16" x14ac:dyDescent="0.4">
      <c r="A835">
        <v>43</v>
      </c>
      <c r="B835" t="str">
        <f t="shared" si="26"/>
        <v>2023-07-26_0004</v>
      </c>
      <c r="C835" s="8">
        <v>45133</v>
      </c>
      <c r="D835" s="11">
        <v>4</v>
      </c>
      <c r="E835" s="12" t="s">
        <v>11</v>
      </c>
      <c r="F835" s="6">
        <v>45125</v>
      </c>
      <c r="G835" s="9" t="s">
        <v>36</v>
      </c>
      <c r="H835" s="9">
        <f t="shared" si="27"/>
        <v>8</v>
      </c>
      <c r="I835" s="9" t="s">
        <v>12</v>
      </c>
      <c r="J835" s="9" t="s">
        <v>36</v>
      </c>
      <c r="K835" s="19">
        <v>46.237000000000002</v>
      </c>
      <c r="L835" s="22">
        <v>2.6920000000000002</v>
      </c>
      <c r="M835" s="22">
        <v>2.13</v>
      </c>
      <c r="N835" t="s">
        <v>14</v>
      </c>
    </row>
    <row r="836" spans="1:15" ht="16" x14ac:dyDescent="0.4">
      <c r="A836">
        <v>43</v>
      </c>
      <c r="B836" t="str">
        <f t="shared" si="26"/>
        <v>2023-07-26_0005</v>
      </c>
      <c r="C836" s="8">
        <v>45133</v>
      </c>
      <c r="D836" s="11">
        <v>5</v>
      </c>
      <c r="E836" s="12" t="s">
        <v>15</v>
      </c>
      <c r="F836" s="6">
        <v>45104</v>
      </c>
      <c r="G836" s="9" t="s">
        <v>36</v>
      </c>
      <c r="H836" s="9">
        <f t="shared" si="27"/>
        <v>29</v>
      </c>
      <c r="I836" s="9" t="s">
        <v>38</v>
      </c>
      <c r="J836" s="9" t="s">
        <v>36</v>
      </c>
      <c r="K836" s="19">
        <v>44.597000000000001</v>
      </c>
      <c r="L836" s="22">
        <v>2.5030000000000001</v>
      </c>
      <c r="M836" s="22">
        <v>1.974</v>
      </c>
      <c r="N836" t="s">
        <v>14</v>
      </c>
    </row>
    <row r="837" spans="1:15" ht="16" x14ac:dyDescent="0.4">
      <c r="A837">
        <v>43</v>
      </c>
      <c r="B837" t="str">
        <f t="shared" si="26"/>
        <v>2023-07-26_0006</v>
      </c>
      <c r="C837" s="8">
        <v>45133</v>
      </c>
      <c r="D837" s="11">
        <v>6</v>
      </c>
      <c r="E837" s="12" t="s">
        <v>15</v>
      </c>
      <c r="F837" s="6">
        <v>45104</v>
      </c>
      <c r="G837" s="9" t="s">
        <v>36</v>
      </c>
      <c r="H837" s="9">
        <f t="shared" si="27"/>
        <v>29</v>
      </c>
      <c r="I837" s="9" t="s">
        <v>18</v>
      </c>
      <c r="J837" s="9" t="s">
        <v>36</v>
      </c>
      <c r="K837" s="19">
        <v>40.048999999999999</v>
      </c>
      <c r="L837" s="22">
        <v>2.2490000000000001</v>
      </c>
      <c r="M837" s="22">
        <v>1.911</v>
      </c>
      <c r="N837" t="s">
        <v>14</v>
      </c>
    </row>
    <row r="838" spans="1:15" ht="16" x14ac:dyDescent="0.4">
      <c r="A838">
        <v>43</v>
      </c>
      <c r="B838" t="str">
        <f t="shared" si="26"/>
        <v>2023-07-26_0007</v>
      </c>
      <c r="C838" s="8">
        <v>45133</v>
      </c>
      <c r="D838" s="11">
        <v>7</v>
      </c>
      <c r="E838" s="12" t="s">
        <v>15</v>
      </c>
      <c r="F838" s="6">
        <v>45121</v>
      </c>
      <c r="G838" s="9" t="s">
        <v>36</v>
      </c>
      <c r="H838" s="9">
        <f t="shared" si="27"/>
        <v>12</v>
      </c>
      <c r="I838" s="9" t="s">
        <v>37</v>
      </c>
      <c r="J838" s="9" t="s">
        <v>36</v>
      </c>
      <c r="K838" s="19">
        <v>42.935000000000002</v>
      </c>
      <c r="L838" s="22">
        <v>2.4159999999999999</v>
      </c>
      <c r="M838" s="22">
        <v>2.1080000000000001</v>
      </c>
      <c r="N838" t="s">
        <v>14</v>
      </c>
    </row>
    <row r="839" spans="1:15" ht="16" x14ac:dyDescent="0.4">
      <c r="A839">
        <v>43</v>
      </c>
      <c r="B839" t="str">
        <f t="shared" si="26"/>
        <v>2023-07-26_0008</v>
      </c>
      <c r="C839" s="8">
        <v>45133</v>
      </c>
      <c r="D839" s="11">
        <v>8</v>
      </c>
      <c r="E839" s="12" t="s">
        <v>15</v>
      </c>
      <c r="F839" s="6">
        <v>45104</v>
      </c>
      <c r="G839" s="9" t="s">
        <v>36</v>
      </c>
      <c r="H839" s="9">
        <f t="shared" si="27"/>
        <v>29</v>
      </c>
      <c r="I839" s="9" t="s">
        <v>18</v>
      </c>
      <c r="J839" s="9" t="s">
        <v>36</v>
      </c>
      <c r="K839" s="19">
        <v>42.859000000000002</v>
      </c>
      <c r="L839" s="22">
        <v>2.3490000000000002</v>
      </c>
      <c r="M839" s="22">
        <v>2.0209999999999999</v>
      </c>
      <c r="N839" t="s">
        <v>14</v>
      </c>
    </row>
    <row r="840" spans="1:15" ht="16" x14ac:dyDescent="0.4">
      <c r="A840">
        <v>43</v>
      </c>
      <c r="B840" t="str">
        <f t="shared" si="26"/>
        <v>2023-07-26_0009</v>
      </c>
      <c r="C840" s="8">
        <v>45133</v>
      </c>
      <c r="D840" s="11">
        <v>9</v>
      </c>
      <c r="E840" s="12" t="s">
        <v>15</v>
      </c>
      <c r="F840" s="6">
        <v>45120</v>
      </c>
      <c r="G840" s="9" t="s">
        <v>36</v>
      </c>
      <c r="H840" s="9">
        <f t="shared" si="27"/>
        <v>13</v>
      </c>
      <c r="I840" s="9" t="s">
        <v>18</v>
      </c>
      <c r="J840" s="9" t="s">
        <v>36</v>
      </c>
      <c r="K840" s="19">
        <v>44.073999999999998</v>
      </c>
      <c r="L840" s="22">
        <v>2.4319999999999999</v>
      </c>
      <c r="M840" s="22">
        <v>2.0640000000000001</v>
      </c>
      <c r="N840" t="s">
        <v>14</v>
      </c>
    </row>
    <row r="841" spans="1:15" ht="16" x14ac:dyDescent="0.4">
      <c r="A841">
        <v>43</v>
      </c>
      <c r="B841" t="str">
        <f t="shared" si="26"/>
        <v>2023-07-26_0010</v>
      </c>
      <c r="C841" s="8">
        <v>45133</v>
      </c>
      <c r="D841" s="11">
        <v>10</v>
      </c>
      <c r="E841" s="12" t="s">
        <v>15</v>
      </c>
      <c r="F841" s="6">
        <v>45109</v>
      </c>
      <c r="G841" s="9" t="s">
        <v>36</v>
      </c>
      <c r="H841" s="9">
        <f t="shared" si="27"/>
        <v>24</v>
      </c>
      <c r="I841" s="9" t="s">
        <v>37</v>
      </c>
      <c r="J841" s="9" t="s">
        <v>36</v>
      </c>
      <c r="K841" s="19">
        <v>45.073999999999998</v>
      </c>
      <c r="L841" s="22">
        <v>2.5049999999999999</v>
      </c>
      <c r="M841" s="22">
        <v>2.1320000000000001</v>
      </c>
      <c r="N841" t="s">
        <v>14</v>
      </c>
    </row>
    <row r="842" spans="1:15" ht="16" x14ac:dyDescent="0.4">
      <c r="A842">
        <v>43</v>
      </c>
      <c r="B842" t="str">
        <f t="shared" si="26"/>
        <v>2023-07-26_0011</v>
      </c>
      <c r="C842" s="8">
        <v>45133</v>
      </c>
      <c r="D842" s="11">
        <v>11</v>
      </c>
      <c r="E842" s="12" t="s">
        <v>11</v>
      </c>
      <c r="F842" s="6">
        <v>45106</v>
      </c>
      <c r="G842" s="9" t="s">
        <v>36</v>
      </c>
      <c r="H842" s="9">
        <f t="shared" si="27"/>
        <v>27</v>
      </c>
      <c r="I842" s="9" t="s">
        <v>17</v>
      </c>
      <c r="J842" s="9" t="s">
        <v>36</v>
      </c>
      <c r="K842" s="19">
        <v>42.658000000000001</v>
      </c>
      <c r="L842" s="22">
        <v>2.4390000000000001</v>
      </c>
      <c r="M842" s="22">
        <v>2.0299999999999998</v>
      </c>
      <c r="N842" t="s">
        <v>14</v>
      </c>
    </row>
    <row r="843" spans="1:15" ht="16" x14ac:dyDescent="0.4">
      <c r="A843">
        <v>44</v>
      </c>
      <c r="B843" t="str">
        <f t="shared" si="26"/>
        <v>2023-07-26_0012</v>
      </c>
      <c r="C843" s="8">
        <v>45133</v>
      </c>
      <c r="D843" s="11">
        <v>12</v>
      </c>
      <c r="E843" s="12" t="s">
        <v>15</v>
      </c>
      <c r="F843" s="6">
        <v>45109</v>
      </c>
      <c r="G843" s="9" t="s">
        <v>36</v>
      </c>
      <c r="H843" s="9">
        <f t="shared" si="27"/>
        <v>24</v>
      </c>
      <c r="I843" s="9" t="s">
        <v>38</v>
      </c>
      <c r="J843" s="9" t="s">
        <v>36</v>
      </c>
      <c r="K843" s="19">
        <v>46.091999999999999</v>
      </c>
      <c r="L843" s="22">
        <v>2.6850000000000001</v>
      </c>
      <c r="M843" s="22">
        <v>2.2029999999999998</v>
      </c>
      <c r="N843" t="s">
        <v>14</v>
      </c>
    </row>
    <row r="844" spans="1:15" ht="16" x14ac:dyDescent="0.4">
      <c r="A844">
        <v>44</v>
      </c>
      <c r="B844" t="str">
        <f t="shared" si="26"/>
        <v>2023-07-26_0013</v>
      </c>
      <c r="C844" s="8">
        <v>45133</v>
      </c>
      <c r="D844" s="11">
        <v>13</v>
      </c>
      <c r="E844" s="12" t="s">
        <v>15</v>
      </c>
      <c r="F844" s="6" t="s">
        <v>21</v>
      </c>
      <c r="G844" s="9" t="s">
        <v>21</v>
      </c>
      <c r="H844" s="9" t="str">
        <f t="shared" si="27"/>
        <v>NA</v>
      </c>
      <c r="I844" s="9" t="s">
        <v>18</v>
      </c>
      <c r="J844" s="9" t="s">
        <v>36</v>
      </c>
      <c r="K844" s="19">
        <v>47.966000000000001</v>
      </c>
      <c r="L844" s="22">
        <v>2.6890000000000001</v>
      </c>
      <c r="M844" s="22">
        <v>2.1389999999999998</v>
      </c>
      <c r="N844" t="s">
        <v>14</v>
      </c>
      <c r="O844" t="s">
        <v>163</v>
      </c>
    </row>
    <row r="845" spans="1:15" ht="16" x14ac:dyDescent="0.4">
      <c r="A845">
        <v>44</v>
      </c>
      <c r="B845" t="str">
        <f t="shared" si="26"/>
        <v>2023-07-26_0014</v>
      </c>
      <c r="C845" s="8">
        <v>45133</v>
      </c>
      <c r="D845" s="11">
        <v>14</v>
      </c>
      <c r="E845" s="12" t="s">
        <v>11</v>
      </c>
      <c r="F845" s="6">
        <v>45108</v>
      </c>
      <c r="G845" s="9" t="s">
        <v>36</v>
      </c>
      <c r="H845" s="9">
        <f t="shared" si="27"/>
        <v>25</v>
      </c>
      <c r="I845" s="9" t="s">
        <v>18</v>
      </c>
      <c r="J845" s="9" t="s">
        <v>36</v>
      </c>
      <c r="K845" s="19">
        <v>42.680999999999997</v>
      </c>
      <c r="L845" s="22">
        <v>2.577</v>
      </c>
      <c r="M845" s="22">
        <v>2.0249999999999999</v>
      </c>
      <c r="N845" t="s">
        <v>14</v>
      </c>
      <c r="O845" t="s">
        <v>42</v>
      </c>
    </row>
    <row r="846" spans="1:15" ht="16" x14ac:dyDescent="0.4">
      <c r="A846">
        <v>44</v>
      </c>
      <c r="B846" t="str">
        <f t="shared" si="26"/>
        <v>2023-07-26_0015</v>
      </c>
      <c r="C846" s="8">
        <v>45133</v>
      </c>
      <c r="D846" s="11">
        <v>15</v>
      </c>
      <c r="E846" s="12" t="s">
        <v>15</v>
      </c>
      <c r="F846" s="6" t="s">
        <v>21</v>
      </c>
      <c r="G846" s="9" t="s">
        <v>21</v>
      </c>
      <c r="H846" s="9" t="str">
        <f t="shared" si="27"/>
        <v>NA</v>
      </c>
      <c r="I846" s="9" t="s">
        <v>12</v>
      </c>
      <c r="J846" s="9" t="s">
        <v>36</v>
      </c>
      <c r="K846" s="19">
        <v>46.405999999999999</v>
      </c>
      <c r="L846" s="22">
        <v>2.5950000000000002</v>
      </c>
      <c r="M846" s="22">
        <v>2.2080000000000002</v>
      </c>
      <c r="N846" t="s">
        <v>14</v>
      </c>
      <c r="O846" t="s">
        <v>46</v>
      </c>
    </row>
    <row r="847" spans="1:15" ht="16" x14ac:dyDescent="0.4">
      <c r="A847">
        <v>44</v>
      </c>
      <c r="B847" t="str">
        <f t="shared" si="26"/>
        <v>2023-07-26_0016</v>
      </c>
      <c r="C847" s="8">
        <v>45133</v>
      </c>
      <c r="D847" s="11">
        <v>16</v>
      </c>
      <c r="E847" s="12" t="s">
        <v>11</v>
      </c>
      <c r="F847" s="6">
        <v>45104</v>
      </c>
      <c r="G847" s="9" t="s">
        <v>39</v>
      </c>
      <c r="H847" s="9">
        <f t="shared" si="27"/>
        <v>29</v>
      </c>
      <c r="I847" s="9" t="s">
        <v>38</v>
      </c>
      <c r="J847" s="9" t="s">
        <v>36</v>
      </c>
      <c r="K847" s="19">
        <v>43.627000000000002</v>
      </c>
      <c r="L847" s="22">
        <v>2.718</v>
      </c>
      <c r="M847" s="22">
        <v>2.19</v>
      </c>
      <c r="N847" t="s">
        <v>14</v>
      </c>
      <c r="O847" t="s">
        <v>44</v>
      </c>
    </row>
    <row r="848" spans="1:15" ht="16" x14ac:dyDescent="0.4">
      <c r="A848">
        <v>44</v>
      </c>
      <c r="B848" t="str">
        <f t="shared" si="26"/>
        <v>2023-07-26_0017</v>
      </c>
      <c r="C848" s="8">
        <v>45133</v>
      </c>
      <c r="D848" s="11">
        <v>17</v>
      </c>
      <c r="E848" s="12" t="s">
        <v>11</v>
      </c>
      <c r="F848" s="6">
        <v>45102</v>
      </c>
      <c r="G848" s="9" t="s">
        <v>39</v>
      </c>
      <c r="H848" s="9">
        <f t="shared" si="27"/>
        <v>31</v>
      </c>
      <c r="I848" s="9" t="s">
        <v>38</v>
      </c>
      <c r="J848" s="9" t="s">
        <v>36</v>
      </c>
      <c r="K848" s="19" t="s">
        <v>21</v>
      </c>
      <c r="L848" s="22">
        <v>2.8359999999999999</v>
      </c>
      <c r="M848" s="22">
        <v>2.294</v>
      </c>
      <c r="N848" t="s">
        <v>16</v>
      </c>
      <c r="O848" t="s">
        <v>137</v>
      </c>
    </row>
    <row r="849" spans="1:15" ht="16" x14ac:dyDescent="0.4">
      <c r="A849">
        <v>44</v>
      </c>
      <c r="B849" t="str">
        <f t="shared" si="26"/>
        <v>2023-07-26_0018</v>
      </c>
      <c r="C849" s="8">
        <v>45133</v>
      </c>
      <c r="D849" s="11">
        <v>18</v>
      </c>
      <c r="E849" s="12" t="s">
        <v>11</v>
      </c>
      <c r="F849" s="6">
        <v>45093</v>
      </c>
      <c r="G849" s="9" t="s">
        <v>39</v>
      </c>
      <c r="H849" s="9">
        <f t="shared" si="27"/>
        <v>40</v>
      </c>
      <c r="I849" s="9" t="s">
        <v>18</v>
      </c>
      <c r="J849" s="9" t="s">
        <v>36</v>
      </c>
      <c r="K849" s="19" t="s">
        <v>21</v>
      </c>
      <c r="L849" s="22">
        <v>2.6259999999999999</v>
      </c>
      <c r="M849" s="22">
        <v>2.1789999999999998</v>
      </c>
      <c r="N849" t="s">
        <v>16</v>
      </c>
      <c r="O849" t="s">
        <v>164</v>
      </c>
    </row>
    <row r="850" spans="1:15" ht="16" x14ac:dyDescent="0.4">
      <c r="A850">
        <v>45</v>
      </c>
      <c r="B850" t="str">
        <f t="shared" si="26"/>
        <v>2023-07-26_0019</v>
      </c>
      <c r="C850" s="8">
        <v>45133</v>
      </c>
      <c r="D850" s="11">
        <v>19</v>
      </c>
      <c r="E850" s="12" t="s">
        <v>15</v>
      </c>
      <c r="F850" s="6" t="s">
        <v>21</v>
      </c>
      <c r="G850" s="9" t="s">
        <v>21</v>
      </c>
      <c r="H850" s="9" t="str">
        <f t="shared" si="27"/>
        <v>NA</v>
      </c>
      <c r="I850" s="9" t="s">
        <v>18</v>
      </c>
      <c r="J850" s="9" t="s">
        <v>36</v>
      </c>
      <c r="K850" s="19" t="s">
        <v>21</v>
      </c>
      <c r="L850" s="22">
        <v>2.1789999999999998</v>
      </c>
      <c r="M850" s="22">
        <v>1.903</v>
      </c>
      <c r="N850" t="s">
        <v>16</v>
      </c>
      <c r="O850" t="s">
        <v>165</v>
      </c>
    </row>
    <row r="851" spans="1:15" ht="16" x14ac:dyDescent="0.4">
      <c r="A851">
        <v>45</v>
      </c>
      <c r="B851" t="str">
        <f t="shared" si="26"/>
        <v>2023-07-26_0020</v>
      </c>
      <c r="C851" s="8">
        <v>45133</v>
      </c>
      <c r="D851" s="11">
        <v>20</v>
      </c>
      <c r="E851" s="12" t="s">
        <v>15</v>
      </c>
      <c r="F851" s="6">
        <v>45109</v>
      </c>
      <c r="G851" s="9" t="s">
        <v>39</v>
      </c>
      <c r="H851" s="9">
        <f t="shared" si="27"/>
        <v>24</v>
      </c>
      <c r="I851" s="9" t="s">
        <v>38</v>
      </c>
      <c r="J851" s="9" t="s">
        <v>39</v>
      </c>
      <c r="K851" s="19" t="s">
        <v>21</v>
      </c>
      <c r="L851" s="22">
        <v>2.4500000000000002</v>
      </c>
      <c r="M851" s="22">
        <v>1.982</v>
      </c>
      <c r="N851" t="s">
        <v>16</v>
      </c>
      <c r="O851" t="s">
        <v>166</v>
      </c>
    </row>
    <row r="852" spans="1:15" ht="16" x14ac:dyDescent="0.4">
      <c r="A852">
        <v>45</v>
      </c>
      <c r="B852" t="str">
        <f t="shared" si="26"/>
        <v>2023-07-26_0021</v>
      </c>
      <c r="C852" s="8">
        <v>45133</v>
      </c>
      <c r="D852" s="11">
        <v>21</v>
      </c>
      <c r="E852" s="12" t="s">
        <v>15</v>
      </c>
      <c r="F852" s="6">
        <v>45108</v>
      </c>
      <c r="G852" s="9" t="s">
        <v>36</v>
      </c>
      <c r="H852" s="9">
        <f t="shared" si="27"/>
        <v>25</v>
      </c>
      <c r="I852" s="9" t="s">
        <v>18</v>
      </c>
      <c r="J852" s="9" t="s">
        <v>36</v>
      </c>
      <c r="K852" s="19" t="s">
        <v>21</v>
      </c>
      <c r="L852" s="22">
        <v>2.6789999999999998</v>
      </c>
      <c r="M852" s="22">
        <v>2.0409999999999999</v>
      </c>
      <c r="N852" t="s">
        <v>16</v>
      </c>
      <c r="O852" t="s">
        <v>48</v>
      </c>
    </row>
    <row r="853" spans="1:15" ht="16" x14ac:dyDescent="0.4">
      <c r="A853">
        <v>45</v>
      </c>
      <c r="B853" t="str">
        <f t="shared" si="26"/>
        <v>2023-07-26_0022</v>
      </c>
      <c r="C853" s="8">
        <v>45133</v>
      </c>
      <c r="D853" s="11">
        <v>22</v>
      </c>
      <c r="E853" s="12" t="s">
        <v>11</v>
      </c>
      <c r="F853" s="6">
        <v>45109</v>
      </c>
      <c r="G853" s="9" t="s">
        <v>36</v>
      </c>
      <c r="H853" s="9">
        <f t="shared" si="27"/>
        <v>24</v>
      </c>
      <c r="I853" s="9" t="s">
        <v>167</v>
      </c>
      <c r="J853" s="9" t="s">
        <v>36</v>
      </c>
      <c r="K853" s="19" t="s">
        <v>21</v>
      </c>
      <c r="L853" s="22">
        <v>2.6019999999999999</v>
      </c>
      <c r="M853" s="22">
        <v>2.1</v>
      </c>
      <c r="N853" t="s">
        <v>16</v>
      </c>
      <c r="O853" t="s">
        <v>48</v>
      </c>
    </row>
    <row r="854" spans="1:15" ht="16" x14ac:dyDescent="0.4">
      <c r="A854">
        <v>45</v>
      </c>
      <c r="B854" t="str">
        <f t="shared" si="26"/>
        <v>2023-07-26_0023</v>
      </c>
      <c r="C854" s="8">
        <v>45133</v>
      </c>
      <c r="D854" s="11">
        <v>23</v>
      </c>
      <c r="E854" s="12" t="s">
        <v>11</v>
      </c>
      <c r="F854" s="6">
        <v>45109</v>
      </c>
      <c r="G854" s="9" t="s">
        <v>39</v>
      </c>
      <c r="H854" s="9">
        <f t="shared" si="27"/>
        <v>24</v>
      </c>
      <c r="I854" s="9" t="s">
        <v>12</v>
      </c>
      <c r="J854" s="9" t="s">
        <v>39</v>
      </c>
      <c r="K854" s="19" t="s">
        <v>21</v>
      </c>
      <c r="L854" s="22">
        <v>2.4319999999999999</v>
      </c>
      <c r="M854" s="22">
        <v>2.0270000000000001</v>
      </c>
      <c r="N854" t="s">
        <v>16</v>
      </c>
      <c r="O854" t="s">
        <v>168</v>
      </c>
    </row>
    <row r="855" spans="1:15" ht="16" x14ac:dyDescent="0.4">
      <c r="A855">
        <v>45</v>
      </c>
      <c r="B855" t="str">
        <f t="shared" si="26"/>
        <v>2023-07-26_0024</v>
      </c>
      <c r="C855" s="8">
        <v>45133</v>
      </c>
      <c r="D855" s="11">
        <v>24</v>
      </c>
      <c r="E855" s="12" t="s">
        <v>11</v>
      </c>
      <c r="F855" s="6">
        <v>45109</v>
      </c>
      <c r="G855" s="9" t="s">
        <v>36</v>
      </c>
      <c r="H855" s="9">
        <f t="shared" si="27"/>
        <v>24</v>
      </c>
      <c r="I855" s="9" t="s">
        <v>12</v>
      </c>
      <c r="J855" s="9" t="s">
        <v>36</v>
      </c>
      <c r="K855" s="19" t="s">
        <v>21</v>
      </c>
      <c r="L855" s="22">
        <v>2.44</v>
      </c>
      <c r="M855" s="22">
        <v>2.0299999999999998</v>
      </c>
      <c r="N855" t="s">
        <v>16</v>
      </c>
      <c r="O855" t="s">
        <v>104</v>
      </c>
    </row>
    <row r="856" spans="1:15" ht="16" x14ac:dyDescent="0.4">
      <c r="A856">
        <v>38</v>
      </c>
      <c r="B856" t="str">
        <f t="shared" si="26"/>
        <v>2023-07-12_0001</v>
      </c>
      <c r="C856" s="8">
        <v>45119</v>
      </c>
      <c r="D856" s="11">
        <v>1</v>
      </c>
      <c r="E856" s="12" t="s">
        <v>15</v>
      </c>
      <c r="F856" s="6">
        <v>45108</v>
      </c>
      <c r="G856" s="9" t="s">
        <v>36</v>
      </c>
      <c r="H856" s="9">
        <f t="shared" si="27"/>
        <v>11</v>
      </c>
      <c r="I856" s="9" t="s">
        <v>12</v>
      </c>
      <c r="J856" s="9" t="s">
        <v>36</v>
      </c>
      <c r="K856" s="19">
        <v>46.343000000000004</v>
      </c>
      <c r="L856" s="22">
        <v>2.484</v>
      </c>
      <c r="M856" s="22">
        <v>1.9570000000000001</v>
      </c>
      <c r="N856" t="s">
        <v>14</v>
      </c>
    </row>
    <row r="857" spans="1:15" ht="16" x14ac:dyDescent="0.4">
      <c r="A857">
        <v>38</v>
      </c>
      <c r="B857" t="str">
        <f t="shared" si="26"/>
        <v>2023-07-12_0002</v>
      </c>
      <c r="C857" s="8">
        <v>45119</v>
      </c>
      <c r="D857" s="11">
        <v>2</v>
      </c>
      <c r="E857" s="12" t="s">
        <v>15</v>
      </c>
      <c r="F857" s="6">
        <v>45097</v>
      </c>
      <c r="G857" s="9" t="s">
        <v>36</v>
      </c>
      <c r="H857" s="9">
        <f t="shared" si="27"/>
        <v>22</v>
      </c>
      <c r="I857" s="9" t="s">
        <v>17</v>
      </c>
      <c r="J857" s="9" t="s">
        <v>36</v>
      </c>
      <c r="K857" s="19">
        <v>48.152000000000001</v>
      </c>
      <c r="L857" s="22">
        <v>2.5609999999999999</v>
      </c>
      <c r="M857" s="22">
        <v>2.1469999999999998</v>
      </c>
      <c r="N857" t="s">
        <v>14</v>
      </c>
    </row>
    <row r="858" spans="1:15" ht="16" x14ac:dyDescent="0.4">
      <c r="A858">
        <v>38</v>
      </c>
      <c r="B858" t="str">
        <f t="shared" si="26"/>
        <v>2023-07-12_0003</v>
      </c>
      <c r="C858" s="8">
        <v>45119</v>
      </c>
      <c r="D858" s="11">
        <v>3</v>
      </c>
      <c r="E858" s="12" t="s">
        <v>15</v>
      </c>
      <c r="F858" s="6">
        <v>45097</v>
      </c>
      <c r="G858" s="9" t="s">
        <v>36</v>
      </c>
      <c r="H858" s="9">
        <f t="shared" si="27"/>
        <v>22</v>
      </c>
      <c r="I858" s="9" t="s">
        <v>38</v>
      </c>
      <c r="J858" s="9" t="s">
        <v>36</v>
      </c>
      <c r="K858" s="19">
        <v>43.542000000000002</v>
      </c>
      <c r="L858" s="22">
        <v>2.3570000000000002</v>
      </c>
      <c r="M858" s="22">
        <v>1.883</v>
      </c>
      <c r="N858" t="s">
        <v>14</v>
      </c>
    </row>
    <row r="859" spans="1:15" ht="16" x14ac:dyDescent="0.4">
      <c r="A859">
        <v>38</v>
      </c>
      <c r="B859" t="str">
        <f t="shared" si="26"/>
        <v>2023-07-12_0004</v>
      </c>
      <c r="C859" s="8">
        <v>45119</v>
      </c>
      <c r="D859" s="11">
        <v>4</v>
      </c>
      <c r="E859" s="12" t="s">
        <v>15</v>
      </c>
      <c r="F859" s="6">
        <v>45104</v>
      </c>
      <c r="G859" s="9" t="s">
        <v>36</v>
      </c>
      <c r="H859" s="9">
        <f t="shared" si="27"/>
        <v>15</v>
      </c>
      <c r="I859" s="9" t="s">
        <v>12</v>
      </c>
      <c r="J859" s="9" t="s">
        <v>36</v>
      </c>
      <c r="K859" s="19">
        <v>44.052</v>
      </c>
      <c r="L859" s="22">
        <v>2.3220000000000001</v>
      </c>
      <c r="M859" s="22">
        <v>2.0209999999999999</v>
      </c>
      <c r="N859" t="s">
        <v>14</v>
      </c>
    </row>
    <row r="860" spans="1:15" ht="16" x14ac:dyDescent="0.4">
      <c r="A860">
        <v>38</v>
      </c>
      <c r="B860" t="str">
        <f t="shared" si="26"/>
        <v>2023-07-12_0005</v>
      </c>
      <c r="C860" s="8">
        <v>45119</v>
      </c>
      <c r="D860" s="11">
        <v>5</v>
      </c>
      <c r="E860" s="12" t="s">
        <v>15</v>
      </c>
      <c r="F860" s="6">
        <v>45090</v>
      </c>
      <c r="G860" s="9" t="s">
        <v>36</v>
      </c>
      <c r="H860" s="9">
        <f t="shared" si="27"/>
        <v>29</v>
      </c>
      <c r="I860" s="9" t="s">
        <v>12</v>
      </c>
      <c r="J860" s="9" t="s">
        <v>36</v>
      </c>
      <c r="K860" s="19">
        <v>44.027999999999999</v>
      </c>
      <c r="L860" s="22">
        <v>2.3849999999999998</v>
      </c>
      <c r="M860" s="22">
        <v>1.8979999999999999</v>
      </c>
      <c r="N860" t="s">
        <v>14</v>
      </c>
    </row>
    <row r="861" spans="1:15" ht="16" x14ac:dyDescent="0.4">
      <c r="A861">
        <v>38</v>
      </c>
      <c r="B861" t="str">
        <f t="shared" si="26"/>
        <v>2023-07-12_0006</v>
      </c>
      <c r="C861" s="8">
        <v>45119</v>
      </c>
      <c r="D861" s="11">
        <v>6</v>
      </c>
      <c r="E861" s="12" t="s">
        <v>15</v>
      </c>
      <c r="F861" s="6">
        <v>45092</v>
      </c>
      <c r="G861" s="9" t="s">
        <v>39</v>
      </c>
      <c r="H861" s="9">
        <f t="shared" si="27"/>
        <v>27</v>
      </c>
      <c r="I861" s="9" t="s">
        <v>38</v>
      </c>
      <c r="J861" s="9" t="s">
        <v>36</v>
      </c>
      <c r="K861" s="19">
        <v>43.790999999999997</v>
      </c>
      <c r="L861" s="22">
        <v>2.335</v>
      </c>
      <c r="M861" s="22">
        <v>1.839</v>
      </c>
      <c r="N861" t="s">
        <v>14</v>
      </c>
      <c r="O861" t="s">
        <v>40</v>
      </c>
    </row>
    <row r="862" spans="1:15" ht="16" x14ac:dyDescent="0.4">
      <c r="A862">
        <v>39</v>
      </c>
      <c r="B862" t="str">
        <f t="shared" si="26"/>
        <v>2023-07-12_0007</v>
      </c>
      <c r="C862" s="8">
        <v>45119</v>
      </c>
      <c r="D862" s="11">
        <v>7</v>
      </c>
      <c r="E862" s="12" t="s">
        <v>15</v>
      </c>
      <c r="F862" s="6">
        <v>45092</v>
      </c>
      <c r="G862" s="9" t="s">
        <v>36</v>
      </c>
      <c r="H862" s="9">
        <f t="shared" si="27"/>
        <v>27</v>
      </c>
      <c r="I862" s="9" t="s">
        <v>18</v>
      </c>
      <c r="J862" s="9" t="s">
        <v>36</v>
      </c>
      <c r="K862" s="19">
        <v>39.747</v>
      </c>
      <c r="L862" s="22">
        <v>2.1459999999999999</v>
      </c>
      <c r="M862" s="22">
        <v>1.8160000000000001</v>
      </c>
      <c r="N862" t="s">
        <v>14</v>
      </c>
    </row>
    <row r="863" spans="1:15" ht="16" x14ac:dyDescent="0.4">
      <c r="A863">
        <v>39</v>
      </c>
      <c r="B863" t="str">
        <f t="shared" si="26"/>
        <v>2023-07-12_0008</v>
      </c>
      <c r="C863" s="8">
        <v>45119</v>
      </c>
      <c r="D863" s="11">
        <v>8</v>
      </c>
      <c r="E863" s="12" t="s">
        <v>11</v>
      </c>
      <c r="F863" s="6">
        <v>45102</v>
      </c>
      <c r="G863" s="9" t="s">
        <v>36</v>
      </c>
      <c r="H863" s="9">
        <f t="shared" si="27"/>
        <v>17</v>
      </c>
      <c r="I863" s="9" t="s">
        <v>38</v>
      </c>
      <c r="J863" s="9" t="s">
        <v>36</v>
      </c>
      <c r="K863" s="19">
        <v>44.942999999999998</v>
      </c>
      <c r="L863" s="22">
        <v>2.536</v>
      </c>
      <c r="M863" s="22">
        <v>2.0369999999999999</v>
      </c>
      <c r="N863" t="s">
        <v>14</v>
      </c>
      <c r="O863" t="s">
        <v>42</v>
      </c>
    </row>
    <row r="864" spans="1:15" ht="16" x14ac:dyDescent="0.4">
      <c r="A864">
        <v>39</v>
      </c>
      <c r="B864" t="str">
        <f t="shared" si="26"/>
        <v>2023-07-12_0009</v>
      </c>
      <c r="C864" s="8">
        <v>45119</v>
      </c>
      <c r="D864" s="11">
        <v>9</v>
      </c>
      <c r="E864" s="12" t="s">
        <v>11</v>
      </c>
      <c r="F864" s="6">
        <v>45107</v>
      </c>
      <c r="G864" s="9" t="s">
        <v>36</v>
      </c>
      <c r="H864" s="9">
        <f t="shared" si="27"/>
        <v>12</v>
      </c>
      <c r="I864" s="9" t="s">
        <v>17</v>
      </c>
      <c r="J864" s="9" t="s">
        <v>36</v>
      </c>
      <c r="K864" s="19">
        <v>47.021000000000001</v>
      </c>
      <c r="L864" s="22">
        <v>2.5579999999999998</v>
      </c>
      <c r="M864" s="22">
        <v>1.974</v>
      </c>
      <c r="N864" t="s">
        <v>14</v>
      </c>
      <c r="O864" t="s">
        <v>42</v>
      </c>
    </row>
    <row r="865" spans="1:15" ht="16" x14ac:dyDescent="0.4">
      <c r="A865">
        <v>39</v>
      </c>
      <c r="B865" t="str">
        <f t="shared" si="26"/>
        <v>2023-07-12_0010</v>
      </c>
      <c r="C865" s="8">
        <v>45119</v>
      </c>
      <c r="D865" s="11">
        <v>10</v>
      </c>
      <c r="E865" s="12" t="s">
        <v>11</v>
      </c>
      <c r="F865" s="6">
        <v>45102</v>
      </c>
      <c r="G865" s="9" t="s">
        <v>39</v>
      </c>
      <c r="H865" s="9">
        <f t="shared" si="27"/>
        <v>17</v>
      </c>
      <c r="I865" s="9" t="s">
        <v>12</v>
      </c>
      <c r="J865" s="9" t="s">
        <v>36</v>
      </c>
      <c r="K865" s="19">
        <v>45.206000000000003</v>
      </c>
      <c r="L865" s="22">
        <v>2.5099999999999998</v>
      </c>
      <c r="M865" s="22">
        <v>1.98</v>
      </c>
      <c r="N865" t="s">
        <v>14</v>
      </c>
      <c r="O865" t="s">
        <v>40</v>
      </c>
    </row>
    <row r="866" spans="1:15" ht="16" x14ac:dyDescent="0.4">
      <c r="A866">
        <v>39</v>
      </c>
      <c r="B866" t="str">
        <f t="shared" si="26"/>
        <v>2023-07-12_0011</v>
      </c>
      <c r="C866" s="8">
        <v>45119</v>
      </c>
      <c r="D866" s="11">
        <v>11</v>
      </c>
      <c r="E866" s="12" t="s">
        <v>15</v>
      </c>
      <c r="F866" s="6">
        <v>45093</v>
      </c>
      <c r="G866" s="9" t="s">
        <v>39</v>
      </c>
      <c r="H866" s="9">
        <f t="shared" si="27"/>
        <v>26</v>
      </c>
      <c r="I866" s="9" t="s">
        <v>38</v>
      </c>
      <c r="J866" s="9" t="s">
        <v>36</v>
      </c>
      <c r="K866" s="19">
        <v>43.588000000000001</v>
      </c>
      <c r="L866" s="22">
        <v>2.3570000000000002</v>
      </c>
      <c r="M866" s="22">
        <v>1.95</v>
      </c>
      <c r="N866" t="s">
        <v>14</v>
      </c>
      <c r="O866" t="s">
        <v>40</v>
      </c>
    </row>
    <row r="867" spans="1:15" ht="16" x14ac:dyDescent="0.4">
      <c r="A867">
        <v>40</v>
      </c>
      <c r="B867" t="str">
        <f t="shared" si="26"/>
        <v>2023-07-12_0012</v>
      </c>
      <c r="C867" s="8">
        <v>45119</v>
      </c>
      <c r="D867" s="11">
        <v>12</v>
      </c>
      <c r="E867" s="12" t="s">
        <v>15</v>
      </c>
      <c r="F867" s="6">
        <v>45093</v>
      </c>
      <c r="G867" s="9" t="s">
        <v>39</v>
      </c>
      <c r="H867" s="9">
        <f t="shared" si="27"/>
        <v>26</v>
      </c>
      <c r="I867" s="9" t="s">
        <v>38</v>
      </c>
      <c r="J867" s="9" t="s">
        <v>36</v>
      </c>
      <c r="K867" s="19">
        <v>41.677999999999997</v>
      </c>
      <c r="L867" s="22">
        <v>2.3090000000000002</v>
      </c>
      <c r="M867" s="22">
        <v>1.944</v>
      </c>
      <c r="N867" t="s">
        <v>14</v>
      </c>
    </row>
    <row r="868" spans="1:15" ht="16" x14ac:dyDescent="0.4">
      <c r="A868">
        <v>40</v>
      </c>
      <c r="B868" t="str">
        <f t="shared" si="26"/>
        <v>2023-07-12_0013</v>
      </c>
      <c r="C868" s="8">
        <v>45119</v>
      </c>
      <c r="D868" s="11">
        <v>13</v>
      </c>
      <c r="E868" s="12" t="s">
        <v>11</v>
      </c>
      <c r="F868" s="6">
        <v>45104</v>
      </c>
      <c r="G868" s="9" t="s">
        <v>36</v>
      </c>
      <c r="H868" s="9">
        <f t="shared" si="27"/>
        <v>15</v>
      </c>
      <c r="I868" s="9" t="s">
        <v>37</v>
      </c>
      <c r="J868" s="9" t="s">
        <v>36</v>
      </c>
      <c r="K868" s="19">
        <v>43.98</v>
      </c>
      <c r="L868" s="22">
        <v>2.476</v>
      </c>
      <c r="M868" s="22">
        <v>2.1080000000000001</v>
      </c>
      <c r="N868" t="s">
        <v>14</v>
      </c>
    </row>
    <row r="869" spans="1:15" ht="16" x14ac:dyDescent="0.4">
      <c r="A869">
        <v>40</v>
      </c>
      <c r="B869" t="str">
        <f t="shared" si="26"/>
        <v>2023-07-12_0014</v>
      </c>
      <c r="C869" s="8">
        <v>45119</v>
      </c>
      <c r="D869" s="11">
        <v>14</v>
      </c>
      <c r="E869" s="12" t="s">
        <v>15</v>
      </c>
      <c r="F869" s="6">
        <v>45090</v>
      </c>
      <c r="G869" s="9" t="s">
        <v>36</v>
      </c>
      <c r="H869" s="9">
        <f t="shared" si="27"/>
        <v>29</v>
      </c>
      <c r="I869" s="9" t="s">
        <v>37</v>
      </c>
      <c r="J869" s="9" t="s">
        <v>36</v>
      </c>
      <c r="K869" s="19">
        <v>42.850999999999999</v>
      </c>
      <c r="L869" s="22">
        <v>2.3199999999999998</v>
      </c>
      <c r="M869" s="22">
        <v>1.8819999999999999</v>
      </c>
      <c r="N869" t="s">
        <v>14</v>
      </c>
    </row>
    <row r="870" spans="1:15" ht="16" x14ac:dyDescent="0.4">
      <c r="A870">
        <v>40</v>
      </c>
      <c r="B870" t="str">
        <f t="shared" si="26"/>
        <v>2023-07-12_0015</v>
      </c>
      <c r="C870" s="8">
        <v>45119</v>
      </c>
      <c r="D870" s="11">
        <v>15</v>
      </c>
      <c r="E870" s="12" t="s">
        <v>15</v>
      </c>
      <c r="F870" s="6">
        <v>45092</v>
      </c>
      <c r="G870" s="9" t="s">
        <v>36</v>
      </c>
      <c r="H870" s="9">
        <f t="shared" si="27"/>
        <v>27</v>
      </c>
      <c r="I870" s="9" t="s">
        <v>18</v>
      </c>
      <c r="J870" s="9" t="s">
        <v>36</v>
      </c>
      <c r="K870" s="19">
        <v>43.447000000000003</v>
      </c>
      <c r="L870" s="22">
        <v>2.3530000000000002</v>
      </c>
      <c r="M870" s="22">
        <v>1.93</v>
      </c>
      <c r="N870" t="s">
        <v>14</v>
      </c>
    </row>
    <row r="871" spans="1:15" ht="16" x14ac:dyDescent="0.4">
      <c r="A871">
        <v>40</v>
      </c>
      <c r="B871" t="str">
        <f t="shared" si="26"/>
        <v>2023-07-12_0016</v>
      </c>
      <c r="C871" s="8">
        <v>45119</v>
      </c>
      <c r="D871" s="11">
        <v>16</v>
      </c>
      <c r="E871" s="12" t="s">
        <v>15</v>
      </c>
      <c r="F871" s="6" t="s">
        <v>21</v>
      </c>
      <c r="G871" s="9" t="s">
        <v>21</v>
      </c>
      <c r="H871" s="9" t="str">
        <f t="shared" si="27"/>
        <v>NA</v>
      </c>
      <c r="I871" s="9" t="s">
        <v>38</v>
      </c>
      <c r="J871" s="9" t="s">
        <v>36</v>
      </c>
      <c r="K871" s="19">
        <v>47.024000000000001</v>
      </c>
      <c r="L871" s="22">
        <v>2.5289999999999999</v>
      </c>
      <c r="M871" s="22">
        <v>1.99</v>
      </c>
      <c r="N871" t="s">
        <v>14</v>
      </c>
      <c r="O871" t="s">
        <v>169</v>
      </c>
    </row>
    <row r="872" spans="1:15" ht="16" x14ac:dyDescent="0.4">
      <c r="A872">
        <v>40</v>
      </c>
      <c r="B872" t="str">
        <f t="shared" si="26"/>
        <v>2023-07-12_0017</v>
      </c>
      <c r="C872" s="8">
        <v>45119</v>
      </c>
      <c r="D872" s="11">
        <v>17</v>
      </c>
      <c r="E872" s="12" t="s">
        <v>15</v>
      </c>
      <c r="F872" s="6">
        <v>45108</v>
      </c>
      <c r="G872" s="9" t="s">
        <v>36</v>
      </c>
      <c r="H872" s="9">
        <f t="shared" si="27"/>
        <v>11</v>
      </c>
      <c r="I872" s="9" t="s">
        <v>38</v>
      </c>
      <c r="J872" s="9" t="s">
        <v>36</v>
      </c>
      <c r="K872" s="19">
        <v>41.29</v>
      </c>
      <c r="L872" s="22">
        <v>2.206</v>
      </c>
      <c r="M872" s="22">
        <v>1.996</v>
      </c>
      <c r="N872" t="s">
        <v>14</v>
      </c>
    </row>
    <row r="873" spans="1:15" ht="16" x14ac:dyDescent="0.4">
      <c r="A873">
        <v>40</v>
      </c>
      <c r="B873" t="str">
        <f t="shared" si="26"/>
        <v>2023-07-12_0018</v>
      </c>
      <c r="C873" s="8">
        <v>45119</v>
      </c>
      <c r="D873" s="11">
        <v>18</v>
      </c>
      <c r="E873" s="12" t="s">
        <v>11</v>
      </c>
      <c r="F873" s="6">
        <v>45109</v>
      </c>
      <c r="G873" s="9" t="s">
        <v>36</v>
      </c>
      <c r="H873" s="9">
        <f t="shared" si="27"/>
        <v>10</v>
      </c>
      <c r="I873" s="9" t="s">
        <v>37</v>
      </c>
      <c r="J873" s="9" t="s">
        <v>36</v>
      </c>
      <c r="K873" s="19">
        <v>43.396999999999998</v>
      </c>
      <c r="L873" s="22">
        <v>2.46</v>
      </c>
      <c r="M873" s="22">
        <v>1.9810000000000001</v>
      </c>
      <c r="N873" t="s">
        <v>14</v>
      </c>
    </row>
    <row r="874" spans="1:15" ht="16" x14ac:dyDescent="0.4">
      <c r="A874">
        <v>40</v>
      </c>
      <c r="B874" t="str">
        <f t="shared" si="26"/>
        <v>2023-07-12_0019</v>
      </c>
      <c r="C874" s="8">
        <v>45119</v>
      </c>
      <c r="D874" s="11">
        <v>19</v>
      </c>
      <c r="E874" s="12" t="s">
        <v>15</v>
      </c>
      <c r="F874" s="6">
        <v>45090</v>
      </c>
      <c r="G874" s="9" t="s">
        <v>36</v>
      </c>
      <c r="H874" s="9">
        <f t="shared" si="27"/>
        <v>29</v>
      </c>
      <c r="I874" s="9" t="s">
        <v>37</v>
      </c>
      <c r="J874" s="9" t="s">
        <v>36</v>
      </c>
      <c r="K874" s="19">
        <v>43.231000000000002</v>
      </c>
      <c r="L874" s="22">
        <v>2.3839999999999999</v>
      </c>
      <c r="M874" s="22">
        <v>1.9179999999999999</v>
      </c>
      <c r="N874" t="s">
        <v>14</v>
      </c>
    </row>
    <row r="875" spans="1:15" ht="16" x14ac:dyDescent="0.4">
      <c r="A875">
        <v>40</v>
      </c>
      <c r="B875" t="str">
        <f t="shared" si="26"/>
        <v>2023-07-12_0020</v>
      </c>
      <c r="C875" s="8">
        <v>45119</v>
      </c>
      <c r="D875" s="11">
        <v>20</v>
      </c>
      <c r="E875" s="12" t="s">
        <v>11</v>
      </c>
      <c r="F875" s="6">
        <v>45090</v>
      </c>
      <c r="G875" s="9" t="s">
        <v>36</v>
      </c>
      <c r="H875" s="9">
        <f t="shared" si="27"/>
        <v>29</v>
      </c>
      <c r="I875" s="9" t="s">
        <v>12</v>
      </c>
      <c r="J875" s="9" t="s">
        <v>36</v>
      </c>
      <c r="K875" s="19">
        <v>44.432000000000002</v>
      </c>
      <c r="L875" s="22">
        <v>2.464</v>
      </c>
      <c r="M875" s="22">
        <v>2.0289999999999999</v>
      </c>
      <c r="N875" t="s">
        <v>14</v>
      </c>
    </row>
    <row r="876" spans="1:15" ht="16" x14ac:dyDescent="0.4">
      <c r="A876">
        <v>40</v>
      </c>
      <c r="B876" t="str">
        <f t="shared" si="26"/>
        <v>2023-07-12_0021</v>
      </c>
      <c r="C876" s="8">
        <v>45119</v>
      </c>
      <c r="D876" s="11">
        <v>21</v>
      </c>
      <c r="E876" s="12" t="s">
        <v>15</v>
      </c>
      <c r="F876" s="6">
        <v>45093</v>
      </c>
      <c r="G876" s="9" t="s">
        <v>39</v>
      </c>
      <c r="H876" s="9">
        <f t="shared" si="27"/>
        <v>26</v>
      </c>
      <c r="I876" s="9" t="s">
        <v>38</v>
      </c>
      <c r="J876" s="9" t="s">
        <v>36</v>
      </c>
      <c r="K876" s="19">
        <v>44.643000000000001</v>
      </c>
      <c r="L876" s="22">
        <v>2.4609999999999999</v>
      </c>
      <c r="M876" s="22">
        <v>1.911</v>
      </c>
      <c r="N876" t="s">
        <v>14</v>
      </c>
      <c r="O876" t="s">
        <v>40</v>
      </c>
    </row>
    <row r="877" spans="1:15" ht="16" x14ac:dyDescent="0.4">
      <c r="A877">
        <v>40</v>
      </c>
      <c r="B877" t="str">
        <f t="shared" si="26"/>
        <v>2023-07-12_0022</v>
      </c>
      <c r="C877" s="8">
        <v>45119</v>
      </c>
      <c r="D877" s="11">
        <v>22</v>
      </c>
      <c r="E877" s="12" t="s">
        <v>15</v>
      </c>
      <c r="F877" s="6">
        <v>45083</v>
      </c>
      <c r="G877" s="9" t="s">
        <v>39</v>
      </c>
      <c r="H877" s="9">
        <f t="shared" si="27"/>
        <v>36</v>
      </c>
      <c r="I877" s="9" t="s">
        <v>18</v>
      </c>
      <c r="J877" s="9" t="s">
        <v>36</v>
      </c>
      <c r="K877" s="19">
        <v>45.475999999999999</v>
      </c>
      <c r="L877" s="22">
        <v>2.4089999999999998</v>
      </c>
      <c r="M877" s="22">
        <v>2.0369999999999999</v>
      </c>
      <c r="N877" t="s">
        <v>14</v>
      </c>
      <c r="O877" t="s">
        <v>44</v>
      </c>
    </row>
    <row r="878" spans="1:15" ht="16" x14ac:dyDescent="0.4">
      <c r="A878">
        <v>41</v>
      </c>
      <c r="B878" t="str">
        <f t="shared" si="26"/>
        <v>2023-07-12_0023</v>
      </c>
      <c r="C878" s="8">
        <v>45119</v>
      </c>
      <c r="D878" s="11">
        <v>23</v>
      </c>
      <c r="E878" s="12" t="s">
        <v>15</v>
      </c>
      <c r="F878" s="6">
        <v>45086</v>
      </c>
      <c r="G878" s="9" t="s">
        <v>36</v>
      </c>
      <c r="H878" s="9">
        <f t="shared" si="27"/>
        <v>33</v>
      </c>
      <c r="I878" s="9" t="s">
        <v>12</v>
      </c>
      <c r="J878" s="9" t="s">
        <v>36</v>
      </c>
      <c r="K878" s="19">
        <v>41.887999999999998</v>
      </c>
      <c r="L878" s="22">
        <v>2.375</v>
      </c>
      <c r="M878" s="22">
        <v>1.883</v>
      </c>
      <c r="N878" t="s">
        <v>14</v>
      </c>
    </row>
    <row r="879" spans="1:15" ht="16" x14ac:dyDescent="0.4">
      <c r="A879">
        <v>41</v>
      </c>
      <c r="B879" t="str">
        <f t="shared" si="26"/>
        <v>2023-07-12_0024</v>
      </c>
      <c r="C879" s="8">
        <v>45119</v>
      </c>
      <c r="D879" s="11">
        <v>24</v>
      </c>
      <c r="E879" s="12" t="s">
        <v>15</v>
      </c>
      <c r="F879" s="6">
        <v>45102</v>
      </c>
      <c r="G879" s="9" t="s">
        <v>36</v>
      </c>
      <c r="H879" s="9">
        <f t="shared" si="27"/>
        <v>17</v>
      </c>
      <c r="I879" s="9" t="s">
        <v>38</v>
      </c>
      <c r="J879" s="9" t="s">
        <v>36</v>
      </c>
      <c r="K879" s="19">
        <v>43.143999999999998</v>
      </c>
      <c r="L879" s="22">
        <v>2.4239999999999999</v>
      </c>
      <c r="M879" s="22">
        <v>2.0499999999999998</v>
      </c>
      <c r="N879" t="s">
        <v>14</v>
      </c>
    </row>
    <row r="880" spans="1:15" ht="16" x14ac:dyDescent="0.4">
      <c r="A880">
        <v>41</v>
      </c>
      <c r="B880" t="str">
        <f t="shared" si="26"/>
        <v>2023-07-12_0025</v>
      </c>
      <c r="C880" s="8">
        <v>45119</v>
      </c>
      <c r="D880" s="11">
        <v>25</v>
      </c>
      <c r="E880" s="12" t="s">
        <v>11</v>
      </c>
      <c r="F880" s="6" t="s">
        <v>21</v>
      </c>
      <c r="G880" s="9" t="s">
        <v>21</v>
      </c>
      <c r="H880" s="9" t="str">
        <f t="shared" si="27"/>
        <v>NA</v>
      </c>
      <c r="I880" s="9" t="s">
        <v>12</v>
      </c>
      <c r="J880" s="9" t="s">
        <v>36</v>
      </c>
      <c r="K880" s="19">
        <v>45.435000000000002</v>
      </c>
      <c r="L880" s="22">
        <v>2.6589999999999998</v>
      </c>
      <c r="M880" s="22">
        <v>2.1389999999999998</v>
      </c>
      <c r="N880" t="s">
        <v>14</v>
      </c>
      <c r="O880" t="s">
        <v>169</v>
      </c>
    </row>
    <row r="881" spans="1:15" ht="16" x14ac:dyDescent="0.4">
      <c r="A881">
        <v>41</v>
      </c>
      <c r="B881" t="str">
        <f t="shared" si="26"/>
        <v>2023-07-12_0026</v>
      </c>
      <c r="C881" s="8">
        <v>45119</v>
      </c>
      <c r="D881" s="11">
        <v>26</v>
      </c>
      <c r="E881" s="12" t="s">
        <v>11</v>
      </c>
      <c r="F881" s="6" t="s">
        <v>21</v>
      </c>
      <c r="G881" s="9" t="s">
        <v>21</v>
      </c>
      <c r="H881" s="9" t="str">
        <f t="shared" si="27"/>
        <v>NA</v>
      </c>
      <c r="I881" s="9" t="s">
        <v>12</v>
      </c>
      <c r="J881" s="9" t="s">
        <v>36</v>
      </c>
      <c r="K881" s="19">
        <v>42.619</v>
      </c>
      <c r="L881" s="22">
        <v>2.5510000000000002</v>
      </c>
      <c r="M881" s="22">
        <v>2.0390000000000001</v>
      </c>
      <c r="N881" t="s">
        <v>14</v>
      </c>
      <c r="O881" t="s">
        <v>169</v>
      </c>
    </row>
    <row r="882" spans="1:15" ht="16" x14ac:dyDescent="0.4">
      <c r="A882">
        <v>41</v>
      </c>
      <c r="B882" t="str">
        <f t="shared" si="26"/>
        <v>2023-07-12_0027</v>
      </c>
      <c r="C882" s="8">
        <v>45119</v>
      </c>
      <c r="D882" s="11">
        <v>27</v>
      </c>
      <c r="E882" s="12" t="s">
        <v>15</v>
      </c>
      <c r="F882" s="6">
        <v>45095</v>
      </c>
      <c r="G882" s="9" t="s">
        <v>39</v>
      </c>
      <c r="H882" s="9">
        <f t="shared" si="27"/>
        <v>24</v>
      </c>
      <c r="I882" s="9" t="s">
        <v>37</v>
      </c>
      <c r="J882" s="9" t="s">
        <v>36</v>
      </c>
      <c r="K882" s="19">
        <v>44.106000000000002</v>
      </c>
      <c r="L882" s="22">
        <v>2.42</v>
      </c>
      <c r="M882" s="22">
        <v>2.09</v>
      </c>
      <c r="N882" t="s">
        <v>14</v>
      </c>
      <c r="O882" t="s">
        <v>40</v>
      </c>
    </row>
    <row r="883" spans="1:15" ht="16" x14ac:dyDescent="0.4">
      <c r="A883">
        <v>41</v>
      </c>
      <c r="B883" t="str">
        <f t="shared" si="26"/>
        <v>2023-07-12_0028</v>
      </c>
      <c r="C883" s="8">
        <v>45119</v>
      </c>
      <c r="D883" s="11">
        <v>28</v>
      </c>
      <c r="E883" s="12" t="s">
        <v>15</v>
      </c>
      <c r="F883" s="6">
        <v>45091</v>
      </c>
      <c r="G883" s="9" t="s">
        <v>39</v>
      </c>
      <c r="H883" s="9">
        <f t="shared" si="27"/>
        <v>28</v>
      </c>
      <c r="I883" s="9" t="s">
        <v>37</v>
      </c>
      <c r="J883" s="9" t="s">
        <v>36</v>
      </c>
      <c r="K883" s="19">
        <v>43.94</v>
      </c>
      <c r="L883" s="22">
        <v>2.4849999999999999</v>
      </c>
      <c r="M883" s="22">
        <v>1.946</v>
      </c>
      <c r="N883" t="s">
        <v>14</v>
      </c>
      <c r="O883" t="s">
        <v>40</v>
      </c>
    </row>
    <row r="884" spans="1:15" ht="16" x14ac:dyDescent="0.4">
      <c r="A884">
        <v>41</v>
      </c>
      <c r="B884" t="str">
        <f t="shared" si="26"/>
        <v>2023-07-12_0029</v>
      </c>
      <c r="C884" s="8">
        <v>45119</v>
      </c>
      <c r="D884" s="11">
        <v>29</v>
      </c>
      <c r="E884" s="12" t="s">
        <v>11</v>
      </c>
      <c r="F884" s="6">
        <v>45090</v>
      </c>
      <c r="G884" s="9" t="s">
        <v>36</v>
      </c>
      <c r="H884" s="9">
        <f t="shared" si="27"/>
        <v>29</v>
      </c>
      <c r="I884" s="9" t="s">
        <v>37</v>
      </c>
      <c r="J884" s="9" t="s">
        <v>36</v>
      </c>
      <c r="K884" s="19">
        <v>42.853000000000002</v>
      </c>
      <c r="L884" s="22">
        <v>2.5760000000000001</v>
      </c>
      <c r="M884" s="22">
        <v>2.1360000000000001</v>
      </c>
      <c r="N884" t="s">
        <v>14</v>
      </c>
      <c r="O884" t="s">
        <v>42</v>
      </c>
    </row>
    <row r="885" spans="1:15" ht="16" x14ac:dyDescent="0.4">
      <c r="A885">
        <v>41</v>
      </c>
      <c r="B885" t="str">
        <f t="shared" si="26"/>
        <v>2023-07-12_0030</v>
      </c>
      <c r="C885" s="8">
        <v>45119</v>
      </c>
      <c r="D885" s="11">
        <v>30</v>
      </c>
      <c r="E885" s="12" t="s">
        <v>15</v>
      </c>
      <c r="F885" s="6">
        <v>45090</v>
      </c>
      <c r="G885" s="9" t="s">
        <v>36</v>
      </c>
      <c r="H885" s="9">
        <f t="shared" si="27"/>
        <v>29</v>
      </c>
      <c r="I885" s="9" t="s">
        <v>18</v>
      </c>
      <c r="J885" s="9" t="s">
        <v>36</v>
      </c>
      <c r="K885" s="19">
        <v>46.283000000000001</v>
      </c>
      <c r="L885" s="22">
        <v>2.6070000000000002</v>
      </c>
      <c r="M885" s="22">
        <v>2.1379999999999999</v>
      </c>
      <c r="N885" t="s">
        <v>14</v>
      </c>
    </row>
    <row r="886" spans="1:15" ht="16" x14ac:dyDescent="0.4">
      <c r="A886">
        <v>41</v>
      </c>
      <c r="B886" t="str">
        <f t="shared" si="26"/>
        <v>2023-07-12_0031</v>
      </c>
      <c r="C886" s="8">
        <v>45119</v>
      </c>
      <c r="D886" s="11">
        <v>31</v>
      </c>
      <c r="E886" s="12" t="s">
        <v>15</v>
      </c>
      <c r="F886" s="6">
        <v>45092</v>
      </c>
      <c r="G886" s="9" t="s">
        <v>39</v>
      </c>
      <c r="H886" s="9">
        <f t="shared" si="27"/>
        <v>27</v>
      </c>
      <c r="I886" s="9" t="s">
        <v>18</v>
      </c>
      <c r="J886" s="9" t="s">
        <v>36</v>
      </c>
      <c r="K886" s="19">
        <v>44.567</v>
      </c>
      <c r="L886" s="22">
        <v>2.468</v>
      </c>
      <c r="M886" s="22">
        <v>2.0249999999999999</v>
      </c>
      <c r="N886" t="s">
        <v>14</v>
      </c>
      <c r="O886" t="s">
        <v>57</v>
      </c>
    </row>
    <row r="887" spans="1:15" ht="16" x14ac:dyDescent="0.4">
      <c r="A887">
        <v>42</v>
      </c>
      <c r="B887" t="str">
        <f t="shared" si="26"/>
        <v>2023-07-12_0032</v>
      </c>
      <c r="C887" s="8">
        <v>45119</v>
      </c>
      <c r="D887" s="11">
        <v>32</v>
      </c>
      <c r="E887" s="12" t="s">
        <v>15</v>
      </c>
      <c r="F887" s="6">
        <v>45104</v>
      </c>
      <c r="G887" s="9" t="s">
        <v>36</v>
      </c>
      <c r="H887" s="9">
        <f t="shared" si="27"/>
        <v>15</v>
      </c>
      <c r="I887" s="9" t="s">
        <v>18</v>
      </c>
      <c r="J887" s="9" t="s">
        <v>36</v>
      </c>
      <c r="K887" s="19">
        <v>46.993000000000002</v>
      </c>
      <c r="L887" s="22">
        <v>2.5790000000000002</v>
      </c>
      <c r="M887" s="22">
        <v>2.06</v>
      </c>
      <c r="N887" t="s">
        <v>14</v>
      </c>
    </row>
    <row r="888" spans="1:15" ht="16" x14ac:dyDescent="0.4">
      <c r="A888">
        <v>42</v>
      </c>
      <c r="B888" t="str">
        <f t="shared" si="26"/>
        <v>2023-07-12_0033</v>
      </c>
      <c r="C888" s="8">
        <v>45119</v>
      </c>
      <c r="D888" s="11">
        <v>33</v>
      </c>
      <c r="E888" s="12" t="s">
        <v>11</v>
      </c>
      <c r="F888" s="6">
        <v>45090</v>
      </c>
      <c r="G888" s="9" t="s">
        <v>36</v>
      </c>
      <c r="H888" s="9">
        <f t="shared" si="27"/>
        <v>29</v>
      </c>
      <c r="I888" s="9" t="s">
        <v>37</v>
      </c>
      <c r="J888" s="9" t="s">
        <v>36</v>
      </c>
      <c r="K888" s="19">
        <v>44.994</v>
      </c>
      <c r="L888" s="22">
        <v>2.589</v>
      </c>
      <c r="M888" s="22">
        <v>2.0710000000000002</v>
      </c>
      <c r="N888" t="s">
        <v>14</v>
      </c>
    </row>
    <row r="889" spans="1:15" ht="16" x14ac:dyDescent="0.4">
      <c r="A889">
        <v>42</v>
      </c>
      <c r="B889" t="str">
        <f t="shared" si="26"/>
        <v>2023-07-12_0034</v>
      </c>
      <c r="C889" s="8">
        <v>45119</v>
      </c>
      <c r="D889" s="11">
        <v>34</v>
      </c>
      <c r="E889" s="12" t="s">
        <v>15</v>
      </c>
      <c r="F889" s="6">
        <v>45090</v>
      </c>
      <c r="G889" s="9" t="s">
        <v>36</v>
      </c>
      <c r="H889" s="9">
        <f t="shared" si="27"/>
        <v>29</v>
      </c>
      <c r="I889" s="9" t="s">
        <v>18</v>
      </c>
      <c r="J889" s="9" t="s">
        <v>36</v>
      </c>
      <c r="K889" s="19">
        <v>43.046999999999997</v>
      </c>
      <c r="L889" s="22">
        <v>2.35</v>
      </c>
      <c r="M889" s="22">
        <v>1.994</v>
      </c>
      <c r="N889" t="s">
        <v>14</v>
      </c>
    </row>
    <row r="890" spans="1:15" ht="16" x14ac:dyDescent="0.4">
      <c r="A890">
        <v>42</v>
      </c>
      <c r="B890" t="str">
        <f t="shared" si="26"/>
        <v>2023-07-12_0035</v>
      </c>
      <c r="C890" s="8">
        <v>45119</v>
      </c>
      <c r="D890" s="11">
        <v>35</v>
      </c>
      <c r="E890" s="12" t="s">
        <v>15</v>
      </c>
      <c r="F890" s="6">
        <v>45090</v>
      </c>
      <c r="G890" s="9" t="s">
        <v>36</v>
      </c>
      <c r="H890" s="9">
        <f t="shared" si="27"/>
        <v>29</v>
      </c>
      <c r="I890" s="9" t="s">
        <v>18</v>
      </c>
      <c r="J890" s="9" t="s">
        <v>36</v>
      </c>
      <c r="K890" s="19">
        <v>43.185000000000002</v>
      </c>
      <c r="L890" s="22">
        <v>2.347</v>
      </c>
      <c r="M890" s="22">
        <v>1.9950000000000001</v>
      </c>
      <c r="N890" t="s">
        <v>14</v>
      </c>
    </row>
    <row r="891" spans="1:15" ht="16" x14ac:dyDescent="0.4">
      <c r="A891">
        <v>42</v>
      </c>
      <c r="B891" t="str">
        <f t="shared" si="26"/>
        <v>2023-07-12_0036</v>
      </c>
      <c r="C891" s="8">
        <v>45119</v>
      </c>
      <c r="D891" s="11">
        <v>36</v>
      </c>
      <c r="E891" s="12" t="s">
        <v>15</v>
      </c>
      <c r="F891" s="6">
        <v>45109</v>
      </c>
      <c r="G891" s="9" t="s">
        <v>36</v>
      </c>
      <c r="H891" s="9">
        <f t="shared" si="27"/>
        <v>10</v>
      </c>
      <c r="I891" s="9" t="s">
        <v>18</v>
      </c>
      <c r="J891" s="9" t="s">
        <v>36</v>
      </c>
      <c r="K891" s="19">
        <v>48.023000000000003</v>
      </c>
      <c r="L891" s="22">
        <v>2.738</v>
      </c>
      <c r="M891" s="22">
        <v>2.2370000000000001</v>
      </c>
      <c r="N891" t="s">
        <v>14</v>
      </c>
      <c r="O891" t="s">
        <v>42</v>
      </c>
    </row>
    <row r="892" spans="1:15" ht="16" x14ac:dyDescent="0.4">
      <c r="A892">
        <v>42</v>
      </c>
      <c r="B892" t="str">
        <f t="shared" si="26"/>
        <v>2023-07-12_0037</v>
      </c>
      <c r="C892" s="8">
        <v>45119</v>
      </c>
      <c r="D892" s="11">
        <v>37</v>
      </c>
      <c r="E892" s="12" t="s">
        <v>11</v>
      </c>
      <c r="F892" s="6">
        <v>45108</v>
      </c>
      <c r="G892" s="9" t="s">
        <v>36</v>
      </c>
      <c r="H892" s="9">
        <f t="shared" si="27"/>
        <v>11</v>
      </c>
      <c r="I892" s="9" t="s">
        <v>18</v>
      </c>
      <c r="J892" s="9" t="s">
        <v>36</v>
      </c>
      <c r="K892" s="19">
        <v>43.37</v>
      </c>
      <c r="L892" s="22">
        <v>2.577</v>
      </c>
      <c r="M892" s="22">
        <v>2.1880000000000002</v>
      </c>
      <c r="N892" t="s">
        <v>14</v>
      </c>
      <c r="O892" t="s">
        <v>42</v>
      </c>
    </row>
    <row r="893" spans="1:15" ht="16" x14ac:dyDescent="0.4">
      <c r="A893">
        <v>42</v>
      </c>
      <c r="B893" t="str">
        <f t="shared" si="26"/>
        <v>2023-07-12_0038</v>
      </c>
      <c r="C893" s="8">
        <v>45119</v>
      </c>
      <c r="D893" s="11">
        <v>38</v>
      </c>
      <c r="E893" s="12" t="s">
        <v>21</v>
      </c>
      <c r="F893" s="6" t="s">
        <v>21</v>
      </c>
      <c r="G893" s="9" t="s">
        <v>21</v>
      </c>
      <c r="H893" s="9" t="str">
        <f t="shared" si="27"/>
        <v>NA</v>
      </c>
      <c r="I893" s="9" t="s">
        <v>12</v>
      </c>
      <c r="J893" s="9" t="s">
        <v>36</v>
      </c>
      <c r="K893" s="19">
        <v>42.232999999999997</v>
      </c>
      <c r="L893" s="22">
        <v>2.448</v>
      </c>
      <c r="M893" s="22">
        <v>1.871</v>
      </c>
      <c r="N893" t="s">
        <v>14</v>
      </c>
      <c r="O893" t="s">
        <v>170</v>
      </c>
    </row>
    <row r="894" spans="1:15" ht="16" x14ac:dyDescent="0.4">
      <c r="A894">
        <v>42</v>
      </c>
      <c r="B894" t="str">
        <f t="shared" si="26"/>
        <v>2023-07-12_0039</v>
      </c>
      <c r="C894" s="8">
        <v>45119</v>
      </c>
      <c r="D894" s="11">
        <v>39</v>
      </c>
      <c r="E894" s="12" t="s">
        <v>11</v>
      </c>
      <c r="F894" s="6">
        <v>45079</v>
      </c>
      <c r="G894" s="9" t="s">
        <v>39</v>
      </c>
      <c r="H894" s="9">
        <f t="shared" si="27"/>
        <v>40</v>
      </c>
      <c r="I894" s="9" t="s">
        <v>38</v>
      </c>
      <c r="J894" s="9" t="s">
        <v>36</v>
      </c>
      <c r="K894" s="19" t="s">
        <v>21</v>
      </c>
      <c r="L894" s="22">
        <v>2.7490000000000001</v>
      </c>
      <c r="M894" s="22">
        <v>2.004</v>
      </c>
      <c r="N894" t="s">
        <v>16</v>
      </c>
      <c r="O894" t="s">
        <v>171</v>
      </c>
    </row>
    <row r="895" spans="1:15" ht="16" x14ac:dyDescent="0.4">
      <c r="A895">
        <v>42</v>
      </c>
      <c r="B895" t="str">
        <f t="shared" si="26"/>
        <v>2023-07-12_0040</v>
      </c>
      <c r="C895" s="8">
        <v>45119</v>
      </c>
      <c r="D895" s="11">
        <v>40</v>
      </c>
      <c r="E895" s="12" t="s">
        <v>11</v>
      </c>
      <c r="F895" s="6">
        <v>45092</v>
      </c>
      <c r="G895" s="9" t="s">
        <v>36</v>
      </c>
      <c r="H895" s="9">
        <f t="shared" si="27"/>
        <v>27</v>
      </c>
      <c r="I895" s="9" t="s">
        <v>12</v>
      </c>
      <c r="J895" s="9" t="s">
        <v>36</v>
      </c>
      <c r="K895" s="19">
        <v>41.372999999999998</v>
      </c>
      <c r="L895" s="22">
        <v>2.7789999999999999</v>
      </c>
      <c r="M895" s="22">
        <v>2.2280000000000002</v>
      </c>
      <c r="N895" t="s">
        <v>14</v>
      </c>
      <c r="O895" t="s">
        <v>42</v>
      </c>
    </row>
    <row r="896" spans="1:15" ht="16" x14ac:dyDescent="0.4">
      <c r="A896">
        <v>42</v>
      </c>
      <c r="B896" t="str">
        <f t="shared" si="26"/>
        <v>2023-07-12_0041</v>
      </c>
      <c r="C896" s="8">
        <v>45119</v>
      </c>
      <c r="D896" s="11">
        <v>41</v>
      </c>
      <c r="E896" s="12" t="s">
        <v>15</v>
      </c>
      <c r="F896" s="6">
        <v>45090</v>
      </c>
      <c r="G896" s="9" t="s">
        <v>36</v>
      </c>
      <c r="H896" s="9">
        <f t="shared" si="27"/>
        <v>29</v>
      </c>
      <c r="I896" s="9" t="s">
        <v>18</v>
      </c>
      <c r="J896" s="9" t="s">
        <v>36</v>
      </c>
      <c r="K896" s="19" t="s">
        <v>21</v>
      </c>
      <c r="L896" s="22">
        <v>2.3490000000000002</v>
      </c>
      <c r="M896" s="22">
        <v>1.9830000000000001</v>
      </c>
      <c r="N896" t="s">
        <v>16</v>
      </c>
      <c r="O896" t="s">
        <v>104</v>
      </c>
    </row>
    <row r="897" spans="1:15" ht="16" x14ac:dyDescent="0.4">
      <c r="A897">
        <v>42</v>
      </c>
      <c r="B897" t="str">
        <f t="shared" si="26"/>
        <v>2023-07-12_0042</v>
      </c>
      <c r="C897" s="8">
        <v>45119</v>
      </c>
      <c r="D897" s="11">
        <v>42</v>
      </c>
      <c r="E897" s="12" t="s">
        <v>11</v>
      </c>
      <c r="F897" s="6">
        <v>45090</v>
      </c>
      <c r="G897" s="9" t="s">
        <v>36</v>
      </c>
      <c r="H897" s="9">
        <f t="shared" si="27"/>
        <v>29</v>
      </c>
      <c r="I897" s="9" t="s">
        <v>18</v>
      </c>
      <c r="J897" s="9" t="s">
        <v>36</v>
      </c>
      <c r="K897" s="19" t="s">
        <v>21</v>
      </c>
      <c r="L897" s="22">
        <v>2.5470000000000002</v>
      </c>
      <c r="M897" s="22">
        <v>2.1970000000000001</v>
      </c>
      <c r="N897" t="s">
        <v>16</v>
      </c>
      <c r="O897" t="s">
        <v>104</v>
      </c>
    </row>
    <row r="898" spans="1:15" ht="16" x14ac:dyDescent="0.4">
      <c r="A898">
        <v>42</v>
      </c>
      <c r="B898" t="str">
        <f t="shared" ref="B898:B961" si="28">IF(ISBLANK(C898),NA(),_xlfn.CONCAT(TEXT(C898,"YYYY-MM-DD"),"_",TEXT(D898,"0000")))</f>
        <v>2023-07-12_0043</v>
      </c>
      <c r="C898" s="8">
        <v>45119</v>
      </c>
      <c r="D898" s="11">
        <v>43</v>
      </c>
      <c r="E898" s="12" t="s">
        <v>11</v>
      </c>
      <c r="F898" s="6">
        <v>45079</v>
      </c>
      <c r="G898" s="9" t="s">
        <v>36</v>
      </c>
      <c r="H898" s="9">
        <f t="shared" ref="H898:H925" si="29">IF(F898="NA","NA", DATEDIF(F898,C898,"d"))</f>
        <v>40</v>
      </c>
      <c r="I898" s="9" t="s">
        <v>12</v>
      </c>
      <c r="J898" s="9" t="s">
        <v>36</v>
      </c>
      <c r="K898" s="19" t="s">
        <v>21</v>
      </c>
      <c r="L898" s="22">
        <v>2.2949999999999999</v>
      </c>
      <c r="M898" s="22">
        <v>1.994</v>
      </c>
      <c r="N898" t="s">
        <v>16</v>
      </c>
      <c r="O898" t="s">
        <v>104</v>
      </c>
    </row>
    <row r="899" spans="1:15" ht="16" x14ac:dyDescent="0.4">
      <c r="A899">
        <v>42</v>
      </c>
      <c r="B899" t="str">
        <f t="shared" si="28"/>
        <v>2023-07-12_0044</v>
      </c>
      <c r="C899" s="8">
        <v>45119</v>
      </c>
      <c r="D899" s="11">
        <v>44</v>
      </c>
      <c r="E899" s="12" t="s">
        <v>11</v>
      </c>
      <c r="F899" s="6">
        <v>45106</v>
      </c>
      <c r="G899" s="9" t="s">
        <v>39</v>
      </c>
      <c r="H899" s="9">
        <f t="shared" si="29"/>
        <v>13</v>
      </c>
      <c r="I899" s="9" t="s">
        <v>38</v>
      </c>
      <c r="J899" s="9" t="s">
        <v>36</v>
      </c>
      <c r="K899" s="19" t="s">
        <v>21</v>
      </c>
      <c r="L899" s="22">
        <v>2.4369999999999998</v>
      </c>
      <c r="M899" s="22">
        <v>1.895</v>
      </c>
      <c r="N899" t="s">
        <v>16</v>
      </c>
      <c r="O899" t="s">
        <v>105</v>
      </c>
    </row>
    <row r="900" spans="1:15" ht="16" x14ac:dyDescent="0.4">
      <c r="A900">
        <v>42</v>
      </c>
      <c r="B900" t="str">
        <f t="shared" si="28"/>
        <v>2023-07-12_0045</v>
      </c>
      <c r="C900" s="8">
        <v>45119</v>
      </c>
      <c r="D900" s="11">
        <v>45</v>
      </c>
      <c r="E900" s="12" t="s">
        <v>15</v>
      </c>
      <c r="F900" s="6">
        <v>45079</v>
      </c>
      <c r="G900" s="9" t="s">
        <v>39</v>
      </c>
      <c r="H900" s="9">
        <f t="shared" si="29"/>
        <v>40</v>
      </c>
      <c r="I900" s="9" t="s">
        <v>37</v>
      </c>
      <c r="J900" s="9" t="s">
        <v>36</v>
      </c>
      <c r="K900" s="19">
        <v>41.326999999999998</v>
      </c>
      <c r="L900" s="22">
        <v>2.4500000000000002</v>
      </c>
      <c r="M900" s="22">
        <v>2.09</v>
      </c>
      <c r="N900" t="s">
        <v>14</v>
      </c>
      <c r="O900" t="s">
        <v>172</v>
      </c>
    </row>
    <row r="901" spans="1:15" ht="16" x14ac:dyDescent="0.4">
      <c r="A901">
        <v>42</v>
      </c>
      <c r="B901" t="str">
        <f t="shared" si="28"/>
        <v>2023-07-12_0046</v>
      </c>
      <c r="C901" s="8">
        <v>45119</v>
      </c>
      <c r="D901" s="11">
        <v>46</v>
      </c>
      <c r="E901" s="12" t="s">
        <v>11</v>
      </c>
      <c r="F901" s="6">
        <v>45093</v>
      </c>
      <c r="G901" s="9" t="s">
        <v>36</v>
      </c>
      <c r="H901" s="9">
        <f t="shared" si="29"/>
        <v>26</v>
      </c>
      <c r="I901" s="9" t="s">
        <v>38</v>
      </c>
      <c r="J901" s="9" t="s">
        <v>36</v>
      </c>
      <c r="K901" s="19" t="s">
        <v>21</v>
      </c>
      <c r="L901" s="22">
        <v>2.4540000000000002</v>
      </c>
      <c r="M901" s="22">
        <v>1.8520000000000001</v>
      </c>
      <c r="N901" t="s">
        <v>16</v>
      </c>
      <c r="O901" t="s">
        <v>104</v>
      </c>
    </row>
    <row r="902" spans="1:15" ht="16" x14ac:dyDescent="0.4">
      <c r="A902">
        <v>35</v>
      </c>
      <c r="B902" t="str">
        <f t="shared" si="28"/>
        <v>2023-06-07_0001</v>
      </c>
      <c r="C902" s="8">
        <v>45084</v>
      </c>
      <c r="D902" s="11">
        <v>1</v>
      </c>
      <c r="E902" s="12" t="s">
        <v>11</v>
      </c>
      <c r="F902" s="6">
        <v>45055</v>
      </c>
      <c r="G902" s="9" t="s">
        <v>36</v>
      </c>
      <c r="H902" s="9">
        <f t="shared" si="29"/>
        <v>29</v>
      </c>
      <c r="I902" s="9" t="s">
        <v>47</v>
      </c>
      <c r="J902" s="9" t="s">
        <v>36</v>
      </c>
      <c r="K902" s="19">
        <v>42.22</v>
      </c>
      <c r="L902" s="19">
        <v>3</v>
      </c>
      <c r="M902" s="22">
        <v>2.625</v>
      </c>
      <c r="N902" t="s">
        <v>14</v>
      </c>
    </row>
    <row r="903" spans="1:15" ht="16" x14ac:dyDescent="0.4">
      <c r="A903">
        <v>35</v>
      </c>
      <c r="B903" t="str">
        <f t="shared" si="28"/>
        <v>2023-06-07_0002</v>
      </c>
      <c r="C903" s="8">
        <v>45084</v>
      </c>
      <c r="D903" s="11">
        <v>2</v>
      </c>
      <c r="E903" s="12" t="s">
        <v>15</v>
      </c>
      <c r="F903" s="6">
        <v>45055</v>
      </c>
      <c r="G903" s="9" t="s">
        <v>36</v>
      </c>
      <c r="H903" s="9">
        <f t="shared" si="29"/>
        <v>29</v>
      </c>
      <c r="I903" s="9" t="s">
        <v>18</v>
      </c>
      <c r="J903" s="9" t="s">
        <v>36</v>
      </c>
      <c r="K903" s="19">
        <v>47.664999999999999</v>
      </c>
      <c r="L903" s="22">
        <v>2.5049999999999999</v>
      </c>
      <c r="M903" s="22">
        <v>2.0750000000000002</v>
      </c>
      <c r="N903" t="s">
        <v>14</v>
      </c>
      <c r="O903" t="s">
        <v>173</v>
      </c>
    </row>
    <row r="904" spans="1:15" ht="16" x14ac:dyDescent="0.4">
      <c r="A904">
        <v>35</v>
      </c>
      <c r="B904" t="str">
        <f t="shared" si="28"/>
        <v>2023-06-07_0003</v>
      </c>
      <c r="C904" s="8">
        <v>45084</v>
      </c>
      <c r="D904" s="11">
        <v>3</v>
      </c>
      <c r="E904" s="12" t="s">
        <v>11</v>
      </c>
      <c r="F904" s="6">
        <v>45055</v>
      </c>
      <c r="G904" s="9" t="s">
        <v>36</v>
      </c>
      <c r="H904" s="9">
        <f t="shared" si="29"/>
        <v>29</v>
      </c>
      <c r="I904" s="9" t="s">
        <v>12</v>
      </c>
      <c r="J904" s="9" t="s">
        <v>36</v>
      </c>
      <c r="K904" s="19">
        <v>43.828000000000003</v>
      </c>
      <c r="L904" s="22">
        <v>2.198</v>
      </c>
      <c r="M904" s="22">
        <v>1.91</v>
      </c>
      <c r="N904" t="s">
        <v>14</v>
      </c>
      <c r="O904" t="s">
        <v>174</v>
      </c>
    </row>
    <row r="905" spans="1:15" ht="16" x14ac:dyDescent="0.4">
      <c r="A905">
        <v>35</v>
      </c>
      <c r="B905" t="str">
        <f t="shared" si="28"/>
        <v>2023-06-07_0004</v>
      </c>
      <c r="C905" s="8">
        <v>45084</v>
      </c>
      <c r="D905" s="11">
        <v>4</v>
      </c>
      <c r="E905" s="12" t="s">
        <v>11</v>
      </c>
      <c r="F905" s="6">
        <v>45055</v>
      </c>
      <c r="G905" s="9" t="s">
        <v>36</v>
      </c>
      <c r="H905" s="9">
        <f t="shared" si="29"/>
        <v>29</v>
      </c>
      <c r="I905" s="9" t="s">
        <v>47</v>
      </c>
      <c r="J905" s="9" t="s">
        <v>36</v>
      </c>
      <c r="K905" s="19">
        <v>43.639000000000003</v>
      </c>
      <c r="L905" s="22">
        <v>2.492</v>
      </c>
      <c r="M905" s="22">
        <v>1.88</v>
      </c>
      <c r="N905" t="s">
        <v>14</v>
      </c>
    </row>
    <row r="906" spans="1:15" ht="16" x14ac:dyDescent="0.4">
      <c r="A906">
        <v>35</v>
      </c>
      <c r="B906" t="str">
        <f t="shared" si="28"/>
        <v>2023-06-07_0005</v>
      </c>
      <c r="C906" s="8">
        <v>45084</v>
      </c>
      <c r="D906" s="11">
        <v>5</v>
      </c>
      <c r="E906" s="12" t="s">
        <v>11</v>
      </c>
      <c r="F906" s="6">
        <v>45072</v>
      </c>
      <c r="G906" s="9" t="s">
        <v>36</v>
      </c>
      <c r="H906" s="9">
        <f t="shared" si="29"/>
        <v>12</v>
      </c>
      <c r="I906" s="9" t="s">
        <v>37</v>
      </c>
      <c r="J906" s="9" t="s">
        <v>36</v>
      </c>
      <c r="K906" s="19">
        <v>45.069000000000003</v>
      </c>
      <c r="L906" s="22">
        <v>2.4249999999999998</v>
      </c>
      <c r="M906" s="22">
        <v>1.994</v>
      </c>
      <c r="N906" t="s">
        <v>14</v>
      </c>
    </row>
    <row r="907" spans="1:15" ht="16" x14ac:dyDescent="0.4">
      <c r="A907">
        <v>36</v>
      </c>
      <c r="B907" t="str">
        <f t="shared" si="28"/>
        <v>2023-06-07_0006</v>
      </c>
      <c r="C907" s="8">
        <v>45084</v>
      </c>
      <c r="D907" s="11">
        <v>6</v>
      </c>
      <c r="E907" s="12" t="s">
        <v>15</v>
      </c>
      <c r="F907" s="6">
        <v>45052</v>
      </c>
      <c r="G907" s="9" t="s">
        <v>36</v>
      </c>
      <c r="H907" s="9">
        <f t="shared" si="29"/>
        <v>32</v>
      </c>
      <c r="I907" s="9" t="s">
        <v>12</v>
      </c>
      <c r="J907" s="9" t="s">
        <v>36</v>
      </c>
      <c r="K907" s="19">
        <v>46.780999999999999</v>
      </c>
      <c r="L907" s="22">
        <v>2.4630000000000001</v>
      </c>
      <c r="M907" s="22">
        <v>1.964</v>
      </c>
      <c r="N907" t="s">
        <v>14</v>
      </c>
    </row>
    <row r="908" spans="1:15" ht="16" x14ac:dyDescent="0.4">
      <c r="A908">
        <v>36</v>
      </c>
      <c r="B908" t="str">
        <f t="shared" si="28"/>
        <v>2023-06-07_0007</v>
      </c>
      <c r="C908" s="8">
        <v>45084</v>
      </c>
      <c r="D908" s="11">
        <v>7</v>
      </c>
      <c r="E908" s="12" t="s">
        <v>15</v>
      </c>
      <c r="F908" s="6">
        <v>45080</v>
      </c>
      <c r="G908" s="9" t="s">
        <v>36</v>
      </c>
      <c r="H908" s="9">
        <f t="shared" si="29"/>
        <v>4</v>
      </c>
      <c r="I908" s="9" t="s">
        <v>37</v>
      </c>
      <c r="J908" s="9" t="s">
        <v>36</v>
      </c>
      <c r="K908" s="19">
        <v>40.402000000000001</v>
      </c>
      <c r="L908" s="22">
        <v>1.974</v>
      </c>
      <c r="M908" s="22">
        <v>1.728</v>
      </c>
      <c r="N908" t="s">
        <v>14</v>
      </c>
    </row>
    <row r="909" spans="1:15" ht="16" x14ac:dyDescent="0.4">
      <c r="A909">
        <v>36</v>
      </c>
      <c r="B909" t="str">
        <f t="shared" si="28"/>
        <v>2023-06-07_0008</v>
      </c>
      <c r="C909" s="8">
        <v>45084</v>
      </c>
      <c r="D909" s="11">
        <v>8</v>
      </c>
      <c r="E909" s="12" t="s">
        <v>11</v>
      </c>
      <c r="F909" s="6">
        <v>45061</v>
      </c>
      <c r="G909" s="9" t="s">
        <v>36</v>
      </c>
      <c r="H909" s="9">
        <f t="shared" si="29"/>
        <v>23</v>
      </c>
      <c r="I909" s="9" t="s">
        <v>12</v>
      </c>
      <c r="J909" s="9" t="s">
        <v>36</v>
      </c>
      <c r="K909" s="19">
        <v>43.302</v>
      </c>
      <c r="L909" s="22">
        <v>2.3620000000000001</v>
      </c>
      <c r="M909" s="22">
        <v>1.96</v>
      </c>
      <c r="N909" t="s">
        <v>14</v>
      </c>
    </row>
    <row r="910" spans="1:15" ht="16" x14ac:dyDescent="0.4">
      <c r="A910">
        <v>36</v>
      </c>
      <c r="B910" t="str">
        <f t="shared" si="28"/>
        <v>2023-06-07_0009</v>
      </c>
      <c r="C910" s="8">
        <v>45084</v>
      </c>
      <c r="D910" s="11">
        <v>9</v>
      </c>
      <c r="E910" s="12" t="s">
        <v>15</v>
      </c>
      <c r="F910" s="6">
        <v>45052</v>
      </c>
      <c r="G910" s="9" t="s">
        <v>36</v>
      </c>
      <c r="H910" s="9">
        <f t="shared" si="29"/>
        <v>32</v>
      </c>
      <c r="I910" s="9" t="s">
        <v>18</v>
      </c>
      <c r="J910" s="9" t="s">
        <v>36</v>
      </c>
      <c r="K910" s="19">
        <v>43.747</v>
      </c>
      <c r="L910" s="22">
        <v>2.2850000000000001</v>
      </c>
      <c r="M910" s="22">
        <v>1.871</v>
      </c>
      <c r="N910" t="s">
        <v>14</v>
      </c>
    </row>
    <row r="911" spans="1:15" ht="16" x14ac:dyDescent="0.4">
      <c r="A911">
        <v>36</v>
      </c>
      <c r="B911" t="str">
        <f t="shared" si="28"/>
        <v>2023-06-07_0010</v>
      </c>
      <c r="C911" s="8">
        <v>45084</v>
      </c>
      <c r="D911" s="11">
        <v>10</v>
      </c>
      <c r="E911" s="12" t="s">
        <v>15</v>
      </c>
      <c r="F911" s="6">
        <v>45052</v>
      </c>
      <c r="G911" s="9" t="s">
        <v>36</v>
      </c>
      <c r="H911" s="9">
        <f t="shared" si="29"/>
        <v>32</v>
      </c>
      <c r="I911" s="9" t="s">
        <v>38</v>
      </c>
      <c r="J911" s="9" t="s">
        <v>36</v>
      </c>
      <c r="K911" s="19">
        <v>43.031999999999996</v>
      </c>
      <c r="L911" s="22">
        <v>2.1989999999999998</v>
      </c>
      <c r="M911" s="22">
        <v>1.833</v>
      </c>
      <c r="N911" t="s">
        <v>14</v>
      </c>
    </row>
    <row r="912" spans="1:15" ht="16" x14ac:dyDescent="0.4">
      <c r="A912">
        <v>36</v>
      </c>
      <c r="B912" t="str">
        <f t="shared" si="28"/>
        <v>2023-06-07_0011</v>
      </c>
      <c r="C912" s="8">
        <v>45084</v>
      </c>
      <c r="D912" s="11">
        <v>11</v>
      </c>
      <c r="E912" s="12" t="s">
        <v>11</v>
      </c>
      <c r="F912" s="6">
        <v>45055</v>
      </c>
      <c r="G912" s="9" t="s">
        <v>36</v>
      </c>
      <c r="H912" s="9">
        <f t="shared" si="29"/>
        <v>29</v>
      </c>
      <c r="I912" s="9" t="s">
        <v>12</v>
      </c>
      <c r="J912" s="9" t="s">
        <v>36</v>
      </c>
      <c r="K912" s="19">
        <v>43.963999999999999</v>
      </c>
      <c r="L912" s="22">
        <v>2.3210000000000002</v>
      </c>
      <c r="M912" s="22">
        <v>2</v>
      </c>
      <c r="N912" t="s">
        <v>14</v>
      </c>
    </row>
    <row r="913" spans="1:15" ht="16" x14ac:dyDescent="0.4">
      <c r="A913">
        <v>36</v>
      </c>
      <c r="B913" t="str">
        <f t="shared" si="28"/>
        <v>2023-06-07_0012</v>
      </c>
      <c r="C913" s="8">
        <v>45084</v>
      </c>
      <c r="D913" s="11">
        <v>12</v>
      </c>
      <c r="E913" s="12" t="s">
        <v>11</v>
      </c>
      <c r="F913" s="6">
        <v>45069</v>
      </c>
      <c r="G913" s="9" t="s">
        <v>39</v>
      </c>
      <c r="H913" s="9">
        <f t="shared" si="29"/>
        <v>15</v>
      </c>
      <c r="I913" s="9" t="s">
        <v>47</v>
      </c>
      <c r="J913" s="9" t="s">
        <v>36</v>
      </c>
      <c r="K913" s="19">
        <v>44.701999999999998</v>
      </c>
      <c r="L913" s="22">
        <v>2.387</v>
      </c>
      <c r="M913" s="22">
        <v>1.871</v>
      </c>
      <c r="N913" t="s">
        <v>14</v>
      </c>
      <c r="O913" t="s">
        <v>40</v>
      </c>
    </row>
    <row r="914" spans="1:15" ht="16" x14ac:dyDescent="0.4">
      <c r="A914">
        <v>36</v>
      </c>
      <c r="B914" t="str">
        <f t="shared" si="28"/>
        <v>2023-06-07_0013</v>
      </c>
      <c r="C914" s="8">
        <v>45084</v>
      </c>
      <c r="D914" s="11">
        <v>13</v>
      </c>
      <c r="E914" s="12" t="s">
        <v>11</v>
      </c>
      <c r="F914" s="6">
        <v>45068</v>
      </c>
      <c r="G914" s="9" t="s">
        <v>36</v>
      </c>
      <c r="H914" s="9">
        <f t="shared" si="29"/>
        <v>16</v>
      </c>
      <c r="I914" s="9" t="s">
        <v>18</v>
      </c>
      <c r="J914" s="9" t="s">
        <v>36</v>
      </c>
      <c r="K914" s="19">
        <v>45.808999999999997</v>
      </c>
      <c r="L914" s="22">
        <v>2.4060000000000001</v>
      </c>
      <c r="M914" s="22">
        <v>1.982</v>
      </c>
      <c r="N914" t="s">
        <v>14</v>
      </c>
    </row>
    <row r="915" spans="1:15" ht="16" x14ac:dyDescent="0.4">
      <c r="A915">
        <v>36</v>
      </c>
      <c r="B915" t="str">
        <f t="shared" si="28"/>
        <v>2023-06-07_0014</v>
      </c>
      <c r="C915" s="8">
        <v>45084</v>
      </c>
      <c r="D915" s="11">
        <v>14</v>
      </c>
      <c r="E915" s="12" t="s">
        <v>11</v>
      </c>
      <c r="F915" s="6">
        <v>45055</v>
      </c>
      <c r="G915" s="9" t="s">
        <v>36</v>
      </c>
      <c r="H915" s="9">
        <f t="shared" si="29"/>
        <v>29</v>
      </c>
      <c r="I915" s="9" t="s">
        <v>18</v>
      </c>
      <c r="J915" s="9" t="s">
        <v>36</v>
      </c>
      <c r="K915" s="19">
        <v>46.433</v>
      </c>
      <c r="L915" s="22">
        <v>2.5339999999999998</v>
      </c>
      <c r="M915" s="22">
        <v>1.9259999999999999</v>
      </c>
      <c r="N915" t="s">
        <v>14</v>
      </c>
      <c r="O915" t="s">
        <v>42</v>
      </c>
    </row>
    <row r="916" spans="1:15" ht="16" x14ac:dyDescent="0.4">
      <c r="A916">
        <v>36</v>
      </c>
      <c r="B916" t="str">
        <f t="shared" si="28"/>
        <v>2023-06-07_0015</v>
      </c>
      <c r="C916" s="8">
        <v>45084</v>
      </c>
      <c r="D916" s="11">
        <v>15</v>
      </c>
      <c r="E916" s="12" t="s">
        <v>15</v>
      </c>
      <c r="F916" s="6">
        <v>45055</v>
      </c>
      <c r="G916" s="9" t="s">
        <v>36</v>
      </c>
      <c r="H916" s="9">
        <f t="shared" si="29"/>
        <v>29</v>
      </c>
      <c r="I916" s="9" t="s">
        <v>38</v>
      </c>
      <c r="J916" s="9" t="s">
        <v>36</v>
      </c>
      <c r="K916" s="19">
        <v>47.366999999999997</v>
      </c>
      <c r="L916" s="22">
        <v>2.4359999999999999</v>
      </c>
      <c r="M916" s="22">
        <v>2.028</v>
      </c>
      <c r="N916" t="s">
        <v>14</v>
      </c>
    </row>
    <row r="917" spans="1:15" ht="16" x14ac:dyDescent="0.4">
      <c r="A917">
        <v>36</v>
      </c>
      <c r="B917" t="str">
        <f t="shared" si="28"/>
        <v>2023-06-07_0016</v>
      </c>
      <c r="C917" s="8">
        <v>45084</v>
      </c>
      <c r="D917" s="11">
        <v>16</v>
      </c>
      <c r="E917" s="12" t="s">
        <v>15</v>
      </c>
      <c r="F917" s="6">
        <v>45066</v>
      </c>
      <c r="G917" s="9" t="s">
        <v>39</v>
      </c>
      <c r="H917" s="9">
        <f t="shared" si="29"/>
        <v>18</v>
      </c>
      <c r="I917" s="9" t="s">
        <v>37</v>
      </c>
      <c r="J917" s="9" t="s">
        <v>36</v>
      </c>
      <c r="K917" s="19">
        <v>40.082000000000001</v>
      </c>
      <c r="L917" s="22">
        <v>2.1320000000000001</v>
      </c>
      <c r="M917" s="22">
        <v>1.716</v>
      </c>
      <c r="N917" t="s">
        <v>14</v>
      </c>
      <c r="O917" t="s">
        <v>40</v>
      </c>
    </row>
    <row r="918" spans="1:15" ht="16" x14ac:dyDescent="0.4">
      <c r="A918">
        <v>37</v>
      </c>
      <c r="B918" t="str">
        <f t="shared" si="28"/>
        <v>2023-06-07_0017</v>
      </c>
      <c r="C918" s="8">
        <v>45084</v>
      </c>
      <c r="D918" s="11">
        <v>17</v>
      </c>
      <c r="E918" s="12" t="s">
        <v>15</v>
      </c>
      <c r="F918" s="6">
        <v>45045</v>
      </c>
      <c r="G918" s="9" t="s">
        <v>36</v>
      </c>
      <c r="H918" s="9">
        <f t="shared" si="29"/>
        <v>39</v>
      </c>
      <c r="I918" s="9" t="s">
        <v>12</v>
      </c>
      <c r="J918" s="9" t="s">
        <v>39</v>
      </c>
      <c r="K918" s="19">
        <v>40.384999999999998</v>
      </c>
      <c r="L918" s="22">
        <v>2.181</v>
      </c>
      <c r="M918" s="22">
        <v>1.837</v>
      </c>
      <c r="N918" t="s">
        <v>14</v>
      </c>
      <c r="O918" t="s">
        <v>41</v>
      </c>
    </row>
    <row r="919" spans="1:15" ht="16" x14ac:dyDescent="0.4">
      <c r="A919">
        <v>37</v>
      </c>
      <c r="B919" t="str">
        <f t="shared" si="28"/>
        <v>2023-06-07_0018</v>
      </c>
      <c r="C919" s="8">
        <v>45084</v>
      </c>
      <c r="D919" s="11">
        <v>18</v>
      </c>
      <c r="E919" s="12" t="s">
        <v>11</v>
      </c>
      <c r="F919" s="6">
        <v>45055</v>
      </c>
      <c r="G919" s="9" t="s">
        <v>36</v>
      </c>
      <c r="H919" s="9">
        <f t="shared" si="29"/>
        <v>29</v>
      </c>
      <c r="I919" s="9" t="s">
        <v>38</v>
      </c>
      <c r="J919" s="9" t="s">
        <v>36</v>
      </c>
      <c r="K919" s="19">
        <v>42.918999999999997</v>
      </c>
      <c r="L919" s="22">
        <v>2.3359999999999999</v>
      </c>
      <c r="M919" s="22">
        <v>1.9830000000000001</v>
      </c>
      <c r="N919" t="s">
        <v>14</v>
      </c>
    </row>
    <row r="920" spans="1:15" ht="16" x14ac:dyDescent="0.4">
      <c r="A920">
        <v>37</v>
      </c>
      <c r="B920" t="str">
        <f t="shared" si="28"/>
        <v>2023-06-07_0019</v>
      </c>
      <c r="C920" s="8">
        <v>45084</v>
      </c>
      <c r="D920" s="11">
        <v>19</v>
      </c>
      <c r="E920" s="12" t="s">
        <v>15</v>
      </c>
      <c r="F920" s="6" t="s">
        <v>21</v>
      </c>
      <c r="G920" s="9" t="s">
        <v>21</v>
      </c>
      <c r="H920" s="9" t="str">
        <f t="shared" si="29"/>
        <v>NA</v>
      </c>
      <c r="I920" s="9" t="s">
        <v>38</v>
      </c>
      <c r="J920" s="9" t="s">
        <v>36</v>
      </c>
      <c r="K920" s="19">
        <v>43.843000000000004</v>
      </c>
      <c r="L920" s="22">
        <v>2.3279999999999998</v>
      </c>
      <c r="M920" s="22">
        <v>1.901</v>
      </c>
      <c r="N920" t="s">
        <v>14</v>
      </c>
      <c r="O920" t="s">
        <v>175</v>
      </c>
    </row>
    <row r="921" spans="1:15" ht="16" x14ac:dyDescent="0.4">
      <c r="A921">
        <v>37</v>
      </c>
      <c r="B921" t="str">
        <f t="shared" si="28"/>
        <v>2023-06-07_0020</v>
      </c>
      <c r="C921" s="8">
        <v>45084</v>
      </c>
      <c r="D921" s="11">
        <v>20</v>
      </c>
      <c r="E921" s="12" t="s">
        <v>11</v>
      </c>
      <c r="F921" s="6">
        <v>45052</v>
      </c>
      <c r="G921" s="9" t="s">
        <v>36</v>
      </c>
      <c r="H921" s="9">
        <f t="shared" si="29"/>
        <v>32</v>
      </c>
      <c r="I921" s="9" t="s">
        <v>38</v>
      </c>
      <c r="J921" s="9" t="s">
        <v>36</v>
      </c>
      <c r="K921" s="19">
        <v>45.433999999999997</v>
      </c>
      <c r="L921" s="22">
        <v>2.456</v>
      </c>
      <c r="M921" s="22">
        <v>1.9</v>
      </c>
      <c r="N921" t="s">
        <v>14</v>
      </c>
      <c r="O921" t="s">
        <v>42</v>
      </c>
    </row>
    <row r="922" spans="1:15" ht="16" x14ac:dyDescent="0.4">
      <c r="A922">
        <v>37</v>
      </c>
      <c r="B922" t="str">
        <f t="shared" si="28"/>
        <v>2023-06-07_0021</v>
      </c>
      <c r="C922" s="8">
        <v>45084</v>
      </c>
      <c r="D922" s="11">
        <v>21</v>
      </c>
      <c r="E922" s="12" t="s">
        <v>11</v>
      </c>
      <c r="F922" s="6">
        <v>45069</v>
      </c>
      <c r="G922" s="9" t="s">
        <v>39</v>
      </c>
      <c r="H922" s="9">
        <f t="shared" si="29"/>
        <v>15</v>
      </c>
      <c r="I922" s="9" t="s">
        <v>12</v>
      </c>
      <c r="J922" s="9" t="s">
        <v>39</v>
      </c>
      <c r="K922" s="19">
        <v>45.783000000000001</v>
      </c>
      <c r="L922" s="22">
        <v>2.6840000000000002</v>
      </c>
      <c r="M922" s="22">
        <v>2.121</v>
      </c>
      <c r="N922" t="s">
        <v>14</v>
      </c>
      <c r="O922" t="s">
        <v>80</v>
      </c>
    </row>
    <row r="923" spans="1:15" ht="16" x14ac:dyDescent="0.4">
      <c r="A923">
        <v>37</v>
      </c>
      <c r="B923" t="str">
        <f t="shared" si="28"/>
        <v>2023-06-07_0022</v>
      </c>
      <c r="C923" s="8">
        <v>45084</v>
      </c>
      <c r="D923" s="11">
        <v>22</v>
      </c>
      <c r="E923" s="12" t="s">
        <v>11</v>
      </c>
      <c r="F923" s="6">
        <v>45055</v>
      </c>
      <c r="G923" s="9" t="s">
        <v>36</v>
      </c>
      <c r="H923" s="9">
        <f t="shared" si="29"/>
        <v>29</v>
      </c>
      <c r="I923" s="9" t="s">
        <v>38</v>
      </c>
      <c r="J923" s="9" t="s">
        <v>36</v>
      </c>
      <c r="K923" s="19">
        <v>47.606999999999999</v>
      </c>
      <c r="L923" s="22">
        <v>2.669</v>
      </c>
      <c r="M923" s="22">
        <v>2.0590000000000002</v>
      </c>
      <c r="N923" t="s">
        <v>14</v>
      </c>
    </row>
    <row r="924" spans="1:15" ht="16" x14ac:dyDescent="0.4">
      <c r="A924">
        <v>37</v>
      </c>
      <c r="B924" t="str">
        <f t="shared" si="28"/>
        <v>2023-06-07_0023</v>
      </c>
      <c r="C924" s="8">
        <v>45084</v>
      </c>
      <c r="D924" s="11">
        <v>23</v>
      </c>
      <c r="E924" s="12" t="s">
        <v>11</v>
      </c>
      <c r="F924" s="6">
        <v>45055</v>
      </c>
      <c r="G924" s="9" t="s">
        <v>36</v>
      </c>
      <c r="H924" s="9">
        <f t="shared" si="29"/>
        <v>29</v>
      </c>
      <c r="I924" s="9" t="s">
        <v>37</v>
      </c>
      <c r="J924" s="9" t="s">
        <v>36</v>
      </c>
      <c r="K924" s="19" t="s">
        <v>21</v>
      </c>
      <c r="L924" s="22">
        <v>2.4790000000000001</v>
      </c>
      <c r="M924" s="22">
        <v>2.0209999999999999</v>
      </c>
      <c r="N924" t="s">
        <v>16</v>
      </c>
      <c r="O924" t="s">
        <v>104</v>
      </c>
    </row>
    <row r="925" spans="1:15" ht="16" x14ac:dyDescent="0.4">
      <c r="A925">
        <v>37</v>
      </c>
      <c r="B925" t="str">
        <f t="shared" si="28"/>
        <v>2023-06-07_0024</v>
      </c>
      <c r="C925" s="8">
        <v>45084</v>
      </c>
      <c r="D925" s="11">
        <v>24</v>
      </c>
      <c r="F925" s="6" t="s">
        <v>21</v>
      </c>
      <c r="G925" s="9" t="s">
        <v>21</v>
      </c>
      <c r="H925" s="9" t="str">
        <f t="shared" si="29"/>
        <v>NA</v>
      </c>
      <c r="I925" s="9" t="s">
        <v>47</v>
      </c>
      <c r="J925" s="9" t="s">
        <v>39</v>
      </c>
      <c r="K925" s="19" t="s">
        <v>21</v>
      </c>
      <c r="L925" s="22">
        <v>2.137</v>
      </c>
      <c r="M925" s="22">
        <v>1.8220000000000001</v>
      </c>
      <c r="N925" t="s">
        <v>16</v>
      </c>
      <c r="O925" t="s">
        <v>176</v>
      </c>
    </row>
    <row r="926" spans="1:15" x14ac:dyDescent="0.35">
      <c r="C926" s="8"/>
      <c r="D926" s="11"/>
      <c r="F926" s="6"/>
    </row>
    <row r="927" spans="1:15" x14ac:dyDescent="0.35">
      <c r="C927" s="8"/>
      <c r="D927" s="11"/>
    </row>
    <row r="928" spans="1:15" x14ac:dyDescent="0.35">
      <c r="C928" s="8"/>
      <c r="D928" s="11"/>
    </row>
    <row r="929" spans="3:4" x14ac:dyDescent="0.35">
      <c r="C929" s="8"/>
      <c r="D929" s="11"/>
    </row>
    <row r="930" spans="3:4" x14ac:dyDescent="0.35">
      <c r="C930" s="8"/>
      <c r="D930" s="11"/>
    </row>
    <row r="931" spans="3:4" x14ac:dyDescent="0.35">
      <c r="C931" s="8"/>
      <c r="D931" s="11"/>
    </row>
    <row r="932" spans="3:4" x14ac:dyDescent="0.35">
      <c r="C932" s="8"/>
      <c r="D932" s="11"/>
    </row>
    <row r="933" spans="3:4" x14ac:dyDescent="0.35">
      <c r="C933" s="8"/>
      <c r="D933" s="11"/>
    </row>
    <row r="934" spans="3:4" x14ac:dyDescent="0.35">
      <c r="C934" s="8"/>
      <c r="D934" s="11"/>
    </row>
    <row r="935" spans="3:4" x14ac:dyDescent="0.35">
      <c r="C935" s="8"/>
      <c r="D935" s="11"/>
    </row>
    <row r="936" spans="3:4" x14ac:dyDescent="0.35">
      <c r="D936" s="11"/>
    </row>
    <row r="937" spans="3:4" x14ac:dyDescent="0.35">
      <c r="D937" s="11"/>
    </row>
    <row r="938" spans="3:4" x14ac:dyDescent="0.35">
      <c r="D938" s="11"/>
    </row>
    <row r="939" spans="3:4" x14ac:dyDescent="0.35">
      <c r="D939" s="11"/>
    </row>
    <row r="940" spans="3:4" x14ac:dyDescent="0.35">
      <c r="D940" s="11"/>
    </row>
    <row r="941" spans="3:4" x14ac:dyDescent="0.35">
      <c r="D941" s="11"/>
    </row>
    <row r="942" spans="3:4" x14ac:dyDescent="0.35">
      <c r="D942" s="11"/>
    </row>
    <row r="943" spans="3:4" x14ac:dyDescent="0.35">
      <c r="D943" s="11"/>
    </row>
    <row r="944" spans="3:4" x14ac:dyDescent="0.35">
      <c r="D944" s="11"/>
    </row>
    <row r="945" spans="4:4" x14ac:dyDescent="0.35">
      <c r="D945" s="11"/>
    </row>
    <row r="946" spans="4:4" x14ac:dyDescent="0.35">
      <c r="D946" s="11"/>
    </row>
    <row r="947" spans="4:4" x14ac:dyDescent="0.35">
      <c r="D947" s="11"/>
    </row>
    <row r="948" spans="4:4" x14ac:dyDescent="0.35">
      <c r="D948" s="11"/>
    </row>
    <row r="949" spans="4:4" x14ac:dyDescent="0.35">
      <c r="D949" s="11"/>
    </row>
    <row r="950" spans="4:4" x14ac:dyDescent="0.35">
      <c r="D950" s="11"/>
    </row>
    <row r="951" spans="4:4" x14ac:dyDescent="0.35">
      <c r="D951" s="11"/>
    </row>
  </sheetData>
  <autoFilter ref="B1:B951" xr:uid="{5C997EB0-632B-47E5-B5F3-2F1C4AC21B03}">
    <sortState xmlns:xlrd2="http://schemas.microsoft.com/office/spreadsheetml/2017/richdata2" ref="B2:B951">
      <sortCondition ref="B2:B951"/>
    </sortState>
  </autoFilter>
  <sortState xmlns:xlrd2="http://schemas.microsoft.com/office/spreadsheetml/2017/richdata2" ref="A2:O970">
    <sortCondition descending="1" ref="C2:C970"/>
  </sortState>
  <dataValidations count="3">
    <dataValidation type="list" allowBlank="1" showInputMessage="1" showErrorMessage="1" sqref="G2:G1048576 J1:J1048576" xr:uid="{60CA85B4-7DF0-4452-B34E-354AA6C03B86}">
      <formula1>"High,Low,NA"</formula1>
    </dataValidation>
    <dataValidation type="list" allowBlank="1" showInputMessage="1" showErrorMessage="1" sqref="E1:E1048576" xr:uid="{7BCA7D0C-0E9D-45D2-9392-C2B3524544CF}">
      <formula1>"Male,Female,NA"</formula1>
    </dataValidation>
    <dataValidation allowBlank="1" showInputMessage="1" showErrorMessage="1" sqref="G1" xr:uid="{CE4967E7-6E7D-486A-8134-70755AF29FDC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CF3F-F3C0-41C9-BE9F-B1A099937B7D}">
  <dimension ref="A1:C352"/>
  <sheetViews>
    <sheetView topLeftCell="A340" workbookViewId="0">
      <selection activeCell="C346" sqref="C346:C352"/>
    </sheetView>
  </sheetViews>
  <sheetFormatPr defaultRowHeight="15.5" x14ac:dyDescent="0.35"/>
  <sheetData>
    <row r="1" spans="1:3" x14ac:dyDescent="0.35">
      <c r="A1">
        <v>1</v>
      </c>
      <c r="B1">
        <v>27.140999999999998</v>
      </c>
      <c r="C1">
        <v>49.902999999999999</v>
      </c>
    </row>
    <row r="2" spans="1:3" x14ac:dyDescent="0.35">
      <c r="A2">
        <v>2</v>
      </c>
      <c r="B2">
        <v>164.78200000000001</v>
      </c>
      <c r="C2">
        <v>43.363999999999997</v>
      </c>
    </row>
    <row r="3" spans="1:3" x14ac:dyDescent="0.35">
      <c r="A3">
        <v>3</v>
      </c>
      <c r="B3">
        <v>27.321000000000002</v>
      </c>
      <c r="C3">
        <v>48.901000000000003</v>
      </c>
    </row>
    <row r="4" spans="1:3" x14ac:dyDescent="0.35">
      <c r="A4">
        <v>4</v>
      </c>
      <c r="B4">
        <v>173.46299999999999</v>
      </c>
      <c r="C4">
        <v>46.473999999999997</v>
      </c>
    </row>
    <row r="5" spans="1:3" x14ac:dyDescent="0.35">
      <c r="A5">
        <v>5</v>
      </c>
      <c r="B5">
        <v>13.627000000000001</v>
      </c>
      <c r="C5">
        <v>48.994</v>
      </c>
    </row>
    <row r="6" spans="1:3" x14ac:dyDescent="0.35">
      <c r="A6">
        <v>6</v>
      </c>
      <c r="B6">
        <v>10.333</v>
      </c>
      <c r="C6">
        <v>44.244</v>
      </c>
    </row>
    <row r="7" spans="1:3" x14ac:dyDescent="0.35">
      <c r="A7">
        <v>7</v>
      </c>
      <c r="B7">
        <v>157.631</v>
      </c>
      <c r="C7">
        <v>43.600999999999999</v>
      </c>
    </row>
    <row r="8" spans="1:3" x14ac:dyDescent="0.35">
      <c r="A8">
        <v>1</v>
      </c>
      <c r="B8">
        <v>175.85</v>
      </c>
      <c r="C8">
        <v>43.776000000000003</v>
      </c>
    </row>
    <row r="9" spans="1:3" x14ac:dyDescent="0.35">
      <c r="A9">
        <v>2</v>
      </c>
      <c r="B9">
        <v>-6.13</v>
      </c>
      <c r="C9">
        <v>46.616999999999997</v>
      </c>
    </row>
    <row r="10" spans="1:3" x14ac:dyDescent="0.35">
      <c r="A10">
        <v>3</v>
      </c>
      <c r="B10">
        <v>-0.44800000000000001</v>
      </c>
      <c r="C10">
        <v>43.862000000000002</v>
      </c>
    </row>
    <row r="11" spans="1:3" x14ac:dyDescent="0.35">
      <c r="A11">
        <v>1</v>
      </c>
      <c r="B11">
        <v>-3.8809999999999998</v>
      </c>
      <c r="C11">
        <v>48.945999999999998</v>
      </c>
    </row>
    <row r="12" spans="1:3" x14ac:dyDescent="0.35">
      <c r="A12">
        <v>1</v>
      </c>
      <c r="B12">
        <v>17.646000000000001</v>
      </c>
      <c r="C12">
        <v>45.064</v>
      </c>
    </row>
    <row r="13" spans="1:3" x14ac:dyDescent="0.35">
      <c r="A13">
        <v>2</v>
      </c>
      <c r="B13">
        <v>-2.246</v>
      </c>
      <c r="C13">
        <v>41.749000000000002</v>
      </c>
    </row>
    <row r="14" spans="1:3" x14ac:dyDescent="0.35">
      <c r="A14">
        <v>3</v>
      </c>
      <c r="B14">
        <v>-168.49299999999999</v>
      </c>
      <c r="C14">
        <v>46.746000000000002</v>
      </c>
    </row>
    <row r="15" spans="1:3" x14ac:dyDescent="0.35">
      <c r="A15">
        <v>4</v>
      </c>
      <c r="B15">
        <v>158.14400000000001</v>
      </c>
      <c r="C15">
        <v>48.12</v>
      </c>
    </row>
    <row r="16" spans="1:3" x14ac:dyDescent="0.35">
      <c r="A16">
        <v>5</v>
      </c>
      <c r="B16">
        <v>13.276</v>
      </c>
      <c r="C16">
        <v>44.88</v>
      </c>
    </row>
    <row r="17" spans="1:3" x14ac:dyDescent="0.35">
      <c r="A17">
        <v>6</v>
      </c>
      <c r="B17">
        <v>7.3659999999999997</v>
      </c>
      <c r="C17">
        <v>43.384</v>
      </c>
    </row>
    <row r="18" spans="1:3" x14ac:dyDescent="0.35">
      <c r="A18">
        <v>7</v>
      </c>
      <c r="B18">
        <v>7.9160000000000004</v>
      </c>
      <c r="C18">
        <v>46.33</v>
      </c>
    </row>
    <row r="19" spans="1:3" x14ac:dyDescent="0.35">
      <c r="A19">
        <v>8</v>
      </c>
      <c r="B19">
        <v>178.16200000000001</v>
      </c>
      <c r="C19">
        <v>48.448999999999998</v>
      </c>
    </row>
    <row r="20" spans="1:3" x14ac:dyDescent="0.35">
      <c r="A20">
        <v>9</v>
      </c>
      <c r="B20">
        <v>-11.05</v>
      </c>
      <c r="C20">
        <v>49.506</v>
      </c>
    </row>
    <row r="21" spans="1:3" x14ac:dyDescent="0.35">
      <c r="A21">
        <v>1</v>
      </c>
      <c r="B21">
        <v>23.69</v>
      </c>
      <c r="C21">
        <v>48.860999999999997</v>
      </c>
    </row>
    <row r="22" spans="1:3" x14ac:dyDescent="0.35">
      <c r="A22">
        <v>1</v>
      </c>
      <c r="B22">
        <v>24.024999999999999</v>
      </c>
      <c r="C22">
        <v>45.593000000000004</v>
      </c>
    </row>
    <row r="23" spans="1:3" x14ac:dyDescent="0.35">
      <c r="A23">
        <v>1</v>
      </c>
      <c r="B23">
        <v>23.577999999999999</v>
      </c>
      <c r="C23">
        <v>47.033000000000001</v>
      </c>
    </row>
    <row r="24" spans="1:3" x14ac:dyDescent="0.35">
      <c r="A24">
        <v>2</v>
      </c>
      <c r="B24">
        <v>10.625999999999999</v>
      </c>
      <c r="C24">
        <v>45.689</v>
      </c>
    </row>
    <row r="25" spans="1:3" x14ac:dyDescent="0.35">
      <c r="A25">
        <v>3</v>
      </c>
      <c r="B25">
        <v>27.411000000000001</v>
      </c>
      <c r="C25">
        <v>47.084000000000003</v>
      </c>
    </row>
    <row r="26" spans="1:3" x14ac:dyDescent="0.35">
      <c r="A26">
        <v>4</v>
      </c>
      <c r="B26">
        <v>16.087</v>
      </c>
      <c r="C26">
        <v>45.459000000000003</v>
      </c>
    </row>
    <row r="27" spans="1:3" x14ac:dyDescent="0.35">
      <c r="A27">
        <v>5</v>
      </c>
      <c r="B27">
        <v>4.0419999999999998</v>
      </c>
      <c r="C27">
        <v>46.411999999999999</v>
      </c>
    </row>
    <row r="28" spans="1:3" x14ac:dyDescent="0.35">
      <c r="A28">
        <v>6</v>
      </c>
      <c r="B28">
        <v>163.262</v>
      </c>
      <c r="C28">
        <v>46.293999999999997</v>
      </c>
    </row>
    <row r="29" spans="1:3" x14ac:dyDescent="0.35">
      <c r="A29">
        <v>7</v>
      </c>
      <c r="B29">
        <v>6.6790000000000003</v>
      </c>
      <c r="C29">
        <v>44.307000000000002</v>
      </c>
    </row>
    <row r="30" spans="1:3" x14ac:dyDescent="0.35">
      <c r="A30">
        <v>8</v>
      </c>
      <c r="B30">
        <v>5.9610000000000003</v>
      </c>
      <c r="C30">
        <v>46.466000000000001</v>
      </c>
    </row>
    <row r="31" spans="1:3" x14ac:dyDescent="0.35">
      <c r="A31">
        <v>9</v>
      </c>
      <c r="B31">
        <v>8.5310000000000006</v>
      </c>
      <c r="C31">
        <v>43.009</v>
      </c>
    </row>
    <row r="32" spans="1:3" x14ac:dyDescent="0.35">
      <c r="A32">
        <v>10</v>
      </c>
      <c r="B32">
        <v>-173.22499999999999</v>
      </c>
      <c r="C32">
        <v>46.457000000000001</v>
      </c>
    </row>
    <row r="33" spans="1:3" x14ac:dyDescent="0.35">
      <c r="A33">
        <v>11</v>
      </c>
      <c r="B33">
        <v>168.767</v>
      </c>
      <c r="C33">
        <v>48.264000000000003</v>
      </c>
    </row>
    <row r="34" spans="1:3" x14ac:dyDescent="0.35">
      <c r="A34">
        <v>12</v>
      </c>
      <c r="B34">
        <v>13.63</v>
      </c>
      <c r="C34">
        <v>45.146999999999998</v>
      </c>
    </row>
    <row r="35" spans="1:3" x14ac:dyDescent="0.35">
      <c r="A35">
        <v>13</v>
      </c>
      <c r="B35">
        <v>159.745</v>
      </c>
      <c r="C35">
        <v>45.975999999999999</v>
      </c>
    </row>
    <row r="36" spans="1:3" x14ac:dyDescent="0.35">
      <c r="A36">
        <v>1</v>
      </c>
      <c r="B36">
        <v>6.8890000000000002</v>
      </c>
      <c r="C36">
        <v>44.601999999999997</v>
      </c>
    </row>
    <row r="37" spans="1:3" x14ac:dyDescent="0.35">
      <c r="A37">
        <v>2</v>
      </c>
      <c r="B37">
        <v>5.641</v>
      </c>
      <c r="C37">
        <v>46.893999999999998</v>
      </c>
    </row>
    <row r="38" spans="1:3" x14ac:dyDescent="0.35">
      <c r="A38">
        <v>3</v>
      </c>
      <c r="B38">
        <v>7.38</v>
      </c>
      <c r="C38">
        <v>43.570999999999998</v>
      </c>
    </row>
    <row r="39" spans="1:3" x14ac:dyDescent="0.35">
      <c r="A39">
        <v>1</v>
      </c>
      <c r="B39">
        <v>12.269</v>
      </c>
      <c r="C39">
        <v>42.433</v>
      </c>
    </row>
    <row r="40" spans="1:3" x14ac:dyDescent="0.35">
      <c r="A40">
        <v>2</v>
      </c>
      <c r="B40">
        <v>9.2240000000000002</v>
      </c>
      <c r="C40">
        <v>45.677</v>
      </c>
    </row>
    <row r="41" spans="1:3" x14ac:dyDescent="0.35">
      <c r="A41">
        <v>3</v>
      </c>
      <c r="B41">
        <v>12.135999999999999</v>
      </c>
      <c r="C41">
        <v>45.091999999999999</v>
      </c>
    </row>
    <row r="42" spans="1:3" x14ac:dyDescent="0.35">
      <c r="A42">
        <v>1</v>
      </c>
      <c r="B42">
        <v>10.542</v>
      </c>
      <c r="C42">
        <v>41.706000000000003</v>
      </c>
    </row>
    <row r="43" spans="1:3" x14ac:dyDescent="0.35">
      <c r="A43">
        <v>2</v>
      </c>
      <c r="B43">
        <v>21.335000000000001</v>
      </c>
      <c r="C43">
        <v>45.756</v>
      </c>
    </row>
    <row r="44" spans="1:3" x14ac:dyDescent="0.35">
      <c r="A44">
        <v>3</v>
      </c>
      <c r="B44">
        <v>173.98</v>
      </c>
      <c r="C44">
        <v>41.152000000000001</v>
      </c>
    </row>
    <row r="45" spans="1:3" x14ac:dyDescent="0.35">
      <c r="A45">
        <v>1</v>
      </c>
      <c r="B45">
        <v>175.434</v>
      </c>
      <c r="C45">
        <v>44.792999999999999</v>
      </c>
    </row>
    <row r="46" spans="1:3" x14ac:dyDescent="0.35">
      <c r="A46">
        <v>2</v>
      </c>
      <c r="B46">
        <v>-4.0069999999999997</v>
      </c>
      <c r="C46">
        <v>44.372</v>
      </c>
    </row>
    <row r="47" spans="1:3" x14ac:dyDescent="0.35">
      <c r="A47">
        <v>3</v>
      </c>
      <c r="B47">
        <v>172.20500000000001</v>
      </c>
      <c r="C47">
        <v>46.866999999999997</v>
      </c>
    </row>
    <row r="48" spans="1:3" x14ac:dyDescent="0.35">
      <c r="A48">
        <v>4</v>
      </c>
      <c r="B48">
        <v>1.6279999999999999</v>
      </c>
      <c r="C48">
        <v>46.375</v>
      </c>
    </row>
    <row r="49" spans="1:3" x14ac:dyDescent="0.35">
      <c r="A49">
        <v>5</v>
      </c>
      <c r="B49">
        <v>171.393</v>
      </c>
      <c r="C49">
        <v>46.100999999999999</v>
      </c>
    </row>
    <row r="50" spans="1:3" x14ac:dyDescent="0.35">
      <c r="A50">
        <v>6</v>
      </c>
      <c r="B50">
        <v>10.564</v>
      </c>
      <c r="C50">
        <v>44.396000000000001</v>
      </c>
    </row>
    <row r="51" spans="1:3" x14ac:dyDescent="0.35">
      <c r="A51">
        <v>7</v>
      </c>
      <c r="B51">
        <v>9.4960000000000004</v>
      </c>
      <c r="C51">
        <v>43.228000000000002</v>
      </c>
    </row>
    <row r="52" spans="1:3" x14ac:dyDescent="0.35">
      <c r="A52">
        <v>8</v>
      </c>
      <c r="B52">
        <v>20.832999999999998</v>
      </c>
      <c r="C52">
        <v>45.12</v>
      </c>
    </row>
    <row r="53" spans="1:3" x14ac:dyDescent="0.35">
      <c r="A53">
        <v>9</v>
      </c>
      <c r="B53">
        <v>170.26</v>
      </c>
      <c r="C53">
        <v>44.674999999999997</v>
      </c>
    </row>
    <row r="54" spans="1:3" x14ac:dyDescent="0.35">
      <c r="A54">
        <v>10</v>
      </c>
      <c r="B54">
        <v>13.4</v>
      </c>
      <c r="C54">
        <v>43.988</v>
      </c>
    </row>
    <row r="55" spans="1:3" x14ac:dyDescent="0.35">
      <c r="A55">
        <v>11</v>
      </c>
      <c r="B55">
        <v>6.1760000000000002</v>
      </c>
      <c r="C55">
        <v>40.35</v>
      </c>
    </row>
    <row r="56" spans="1:3" x14ac:dyDescent="0.35">
      <c r="A56">
        <v>12</v>
      </c>
      <c r="B56">
        <v>19.3</v>
      </c>
      <c r="C56">
        <v>41.396000000000001</v>
      </c>
    </row>
    <row r="57" spans="1:3" x14ac:dyDescent="0.35">
      <c r="A57">
        <v>13</v>
      </c>
      <c r="B57">
        <v>8.2949999999999999</v>
      </c>
      <c r="C57">
        <v>43.790999999999997</v>
      </c>
    </row>
    <row r="58" spans="1:3" x14ac:dyDescent="0.35">
      <c r="A58">
        <v>14</v>
      </c>
      <c r="B58">
        <v>21.972000000000001</v>
      </c>
      <c r="C58">
        <v>48.482999999999997</v>
      </c>
    </row>
    <row r="59" spans="1:3" x14ac:dyDescent="0.35">
      <c r="A59">
        <v>15</v>
      </c>
      <c r="B59">
        <v>17.196000000000002</v>
      </c>
      <c r="C59">
        <v>45.360999999999997</v>
      </c>
    </row>
    <row r="60" spans="1:3" x14ac:dyDescent="0.35">
      <c r="A60">
        <v>1</v>
      </c>
      <c r="B60">
        <v>26.908999999999999</v>
      </c>
      <c r="C60">
        <v>46.247999999999998</v>
      </c>
    </row>
    <row r="61" spans="1:3" x14ac:dyDescent="0.35">
      <c r="A61">
        <v>2</v>
      </c>
      <c r="B61">
        <v>17.251999999999999</v>
      </c>
      <c r="C61">
        <v>41.56</v>
      </c>
    </row>
    <row r="62" spans="1:3" x14ac:dyDescent="0.35">
      <c r="A62">
        <v>3</v>
      </c>
      <c r="B62">
        <v>11.696</v>
      </c>
      <c r="C62">
        <v>42.826999999999998</v>
      </c>
    </row>
    <row r="63" spans="1:3" x14ac:dyDescent="0.35">
      <c r="A63">
        <v>4</v>
      </c>
      <c r="B63">
        <v>2.3460000000000001</v>
      </c>
      <c r="C63">
        <v>41.662999999999997</v>
      </c>
    </row>
    <row r="64" spans="1:3" x14ac:dyDescent="0.35">
      <c r="A64">
        <v>5</v>
      </c>
      <c r="B64">
        <v>15.218999999999999</v>
      </c>
      <c r="C64">
        <v>43.703000000000003</v>
      </c>
    </row>
    <row r="65" spans="1:3" x14ac:dyDescent="0.35">
      <c r="A65">
        <v>6</v>
      </c>
      <c r="B65">
        <v>0.65900000000000003</v>
      </c>
      <c r="C65">
        <v>40.468000000000004</v>
      </c>
    </row>
    <row r="66" spans="1:3" x14ac:dyDescent="0.35">
      <c r="A66">
        <v>7</v>
      </c>
      <c r="B66">
        <v>166.876</v>
      </c>
      <c r="C66">
        <v>43.7</v>
      </c>
    </row>
    <row r="67" spans="1:3" x14ac:dyDescent="0.35">
      <c r="A67">
        <v>8</v>
      </c>
      <c r="B67">
        <v>20.657</v>
      </c>
      <c r="C67">
        <v>41.091000000000001</v>
      </c>
    </row>
    <row r="68" spans="1:3" x14ac:dyDescent="0.35">
      <c r="A68">
        <v>1</v>
      </c>
      <c r="B68">
        <v>7.5330000000000004</v>
      </c>
      <c r="C68">
        <v>47.307000000000002</v>
      </c>
    </row>
    <row r="69" spans="1:3" x14ac:dyDescent="0.35">
      <c r="A69">
        <v>2</v>
      </c>
      <c r="B69">
        <v>3.6880000000000002</v>
      </c>
      <c r="C69">
        <v>44.588000000000001</v>
      </c>
    </row>
    <row r="70" spans="1:3" x14ac:dyDescent="0.35">
      <c r="A70">
        <v>3</v>
      </c>
      <c r="B70">
        <v>15.000999999999999</v>
      </c>
      <c r="C70">
        <v>41.331000000000003</v>
      </c>
    </row>
    <row r="71" spans="1:3" x14ac:dyDescent="0.35">
      <c r="A71">
        <v>4</v>
      </c>
      <c r="B71">
        <v>24.152000000000001</v>
      </c>
      <c r="C71">
        <v>45.281999999999996</v>
      </c>
    </row>
    <row r="72" spans="1:3" x14ac:dyDescent="0.35">
      <c r="A72">
        <v>5</v>
      </c>
      <c r="B72">
        <v>28.872</v>
      </c>
      <c r="C72">
        <v>44.792000000000002</v>
      </c>
    </row>
    <row r="73" spans="1:3" x14ac:dyDescent="0.35">
      <c r="A73">
        <v>6</v>
      </c>
      <c r="B73">
        <v>175.047</v>
      </c>
      <c r="C73">
        <v>44.896000000000001</v>
      </c>
    </row>
    <row r="74" spans="1:3" x14ac:dyDescent="0.35">
      <c r="A74">
        <v>7</v>
      </c>
      <c r="B74">
        <v>0.78800000000000003</v>
      </c>
      <c r="C74">
        <v>45.121000000000002</v>
      </c>
    </row>
    <row r="75" spans="1:3" x14ac:dyDescent="0.35">
      <c r="A75">
        <v>8</v>
      </c>
      <c r="B75">
        <v>12.282</v>
      </c>
      <c r="C75">
        <v>44.823999999999998</v>
      </c>
    </row>
    <row r="76" spans="1:3" x14ac:dyDescent="0.35">
      <c r="A76">
        <v>9</v>
      </c>
      <c r="B76">
        <v>-0.104</v>
      </c>
      <c r="C76">
        <v>42.713000000000001</v>
      </c>
    </row>
    <row r="77" spans="1:3" x14ac:dyDescent="0.35">
      <c r="A77">
        <v>10</v>
      </c>
      <c r="B77">
        <v>1.085</v>
      </c>
      <c r="C77">
        <v>40.938000000000002</v>
      </c>
    </row>
    <row r="78" spans="1:3" x14ac:dyDescent="0.35">
      <c r="A78">
        <v>11</v>
      </c>
      <c r="B78">
        <v>-3.198</v>
      </c>
      <c r="C78">
        <v>41.692999999999998</v>
      </c>
    </row>
    <row r="79" spans="1:3" x14ac:dyDescent="0.35">
      <c r="A79">
        <v>12</v>
      </c>
      <c r="B79">
        <v>17.463999999999999</v>
      </c>
      <c r="C79">
        <v>43.396000000000001</v>
      </c>
    </row>
    <row r="80" spans="1:3" x14ac:dyDescent="0.35">
      <c r="A80">
        <v>13</v>
      </c>
      <c r="B80">
        <v>9.4619999999999997</v>
      </c>
      <c r="C80">
        <v>43.851999999999997</v>
      </c>
    </row>
    <row r="81" spans="1:3" x14ac:dyDescent="0.35">
      <c r="A81">
        <v>14</v>
      </c>
      <c r="B81">
        <v>23.241</v>
      </c>
      <c r="C81">
        <v>41.255000000000003</v>
      </c>
    </row>
    <row r="82" spans="1:3" x14ac:dyDescent="0.35">
      <c r="A82">
        <v>15</v>
      </c>
      <c r="B82">
        <v>160.184</v>
      </c>
      <c r="C82">
        <v>47.790999999999997</v>
      </c>
    </row>
    <row r="83" spans="1:3" x14ac:dyDescent="0.35">
      <c r="A83">
        <v>1</v>
      </c>
      <c r="B83">
        <v>1.726</v>
      </c>
      <c r="C83">
        <v>41.180999999999997</v>
      </c>
    </row>
    <row r="84" spans="1:3" x14ac:dyDescent="0.35">
      <c r="A84">
        <v>2</v>
      </c>
      <c r="B84">
        <v>13.984999999999999</v>
      </c>
      <c r="C84">
        <v>41.701000000000001</v>
      </c>
    </row>
    <row r="85" spans="1:3" x14ac:dyDescent="0.35">
      <c r="A85">
        <v>3</v>
      </c>
      <c r="B85">
        <v>15.193</v>
      </c>
      <c r="C85">
        <v>43.777999999999999</v>
      </c>
    </row>
    <row r="86" spans="1:3" x14ac:dyDescent="0.35">
      <c r="A86">
        <v>4</v>
      </c>
      <c r="B86">
        <v>15.801</v>
      </c>
      <c r="C86">
        <v>42.134999999999998</v>
      </c>
    </row>
    <row r="87" spans="1:3" x14ac:dyDescent="0.35">
      <c r="A87">
        <v>5</v>
      </c>
      <c r="B87">
        <v>-173.72200000000001</v>
      </c>
      <c r="C87">
        <v>39.695</v>
      </c>
    </row>
    <row r="88" spans="1:3" x14ac:dyDescent="0.35">
      <c r="A88">
        <v>1</v>
      </c>
      <c r="B88">
        <v>6.5780000000000003</v>
      </c>
      <c r="C88">
        <v>43.308</v>
      </c>
    </row>
    <row r="89" spans="1:3" x14ac:dyDescent="0.35">
      <c r="A89">
        <v>2</v>
      </c>
      <c r="B89">
        <v>13.430999999999999</v>
      </c>
      <c r="C89">
        <v>37.378999999999998</v>
      </c>
    </row>
    <row r="90" spans="1:3" x14ac:dyDescent="0.35">
      <c r="A90">
        <v>3</v>
      </c>
      <c r="B90">
        <v>177.78200000000001</v>
      </c>
      <c r="C90">
        <v>44.064</v>
      </c>
    </row>
    <row r="91" spans="1:3" x14ac:dyDescent="0.35">
      <c r="A91">
        <v>4</v>
      </c>
      <c r="B91">
        <v>6.625</v>
      </c>
      <c r="C91">
        <v>43</v>
      </c>
    </row>
    <row r="92" spans="1:3" x14ac:dyDescent="0.35">
      <c r="A92">
        <v>5</v>
      </c>
      <c r="B92">
        <v>5.0389999999999997</v>
      </c>
      <c r="C92">
        <v>41.478000000000002</v>
      </c>
    </row>
    <row r="93" spans="1:3" x14ac:dyDescent="0.35">
      <c r="A93">
        <v>6</v>
      </c>
      <c r="B93">
        <v>72.619</v>
      </c>
      <c r="C93">
        <v>43.984999999999999</v>
      </c>
    </row>
    <row r="94" spans="1:3" x14ac:dyDescent="0.35">
      <c r="A94">
        <v>7</v>
      </c>
      <c r="B94">
        <v>-7.3410000000000002</v>
      </c>
      <c r="C94">
        <v>42.167000000000002</v>
      </c>
    </row>
    <row r="95" spans="1:3" x14ac:dyDescent="0.35">
      <c r="A95">
        <v>1</v>
      </c>
      <c r="B95">
        <v>9.8190000000000008</v>
      </c>
      <c r="C95">
        <v>45.709000000000003</v>
      </c>
    </row>
    <row r="96" spans="1:3" x14ac:dyDescent="0.35">
      <c r="A96">
        <v>2</v>
      </c>
      <c r="B96">
        <v>7.0010000000000003</v>
      </c>
      <c r="C96">
        <v>45.219000000000001</v>
      </c>
    </row>
    <row r="97" spans="1:3" x14ac:dyDescent="0.35">
      <c r="A97">
        <v>3</v>
      </c>
      <c r="B97">
        <v>14.978999999999999</v>
      </c>
      <c r="C97">
        <v>42.954999999999998</v>
      </c>
    </row>
    <row r="98" spans="1:3" x14ac:dyDescent="0.35">
      <c r="A98">
        <v>4</v>
      </c>
      <c r="B98">
        <v>3.13</v>
      </c>
      <c r="C98">
        <v>40.375</v>
      </c>
    </row>
    <row r="99" spans="1:3" x14ac:dyDescent="0.35">
      <c r="A99">
        <v>5</v>
      </c>
      <c r="B99">
        <v>11.079000000000001</v>
      </c>
      <c r="C99">
        <v>45.893999999999998</v>
      </c>
    </row>
    <row r="100" spans="1:3" x14ac:dyDescent="0.35">
      <c r="A100">
        <v>6</v>
      </c>
      <c r="B100">
        <v>10.427</v>
      </c>
      <c r="C100">
        <v>46.116</v>
      </c>
    </row>
    <row r="101" spans="1:3" x14ac:dyDescent="0.35">
      <c r="A101">
        <v>7</v>
      </c>
      <c r="B101">
        <v>6.66</v>
      </c>
      <c r="C101">
        <v>42.094999999999999</v>
      </c>
    </row>
    <row r="102" spans="1:3" x14ac:dyDescent="0.35">
      <c r="A102">
        <v>8</v>
      </c>
      <c r="B102">
        <v>-3.698</v>
      </c>
      <c r="C102">
        <v>43.948999999999998</v>
      </c>
    </row>
    <row r="103" spans="1:3" x14ac:dyDescent="0.35">
      <c r="A103">
        <v>9</v>
      </c>
      <c r="B103">
        <v>10.574</v>
      </c>
      <c r="C103">
        <v>42.052</v>
      </c>
    </row>
    <row r="104" spans="1:3" x14ac:dyDescent="0.35">
      <c r="A104">
        <v>10</v>
      </c>
      <c r="B104">
        <v>1.337</v>
      </c>
      <c r="C104">
        <v>43.87</v>
      </c>
    </row>
    <row r="105" spans="1:3" x14ac:dyDescent="0.35">
      <c r="A105">
        <v>11</v>
      </c>
      <c r="B105">
        <v>-9.5960000000000001</v>
      </c>
      <c r="C105">
        <v>44.4</v>
      </c>
    </row>
    <row r="106" spans="1:3" x14ac:dyDescent="0.35">
      <c r="A106">
        <v>1</v>
      </c>
      <c r="B106">
        <v>166.15799999999999</v>
      </c>
      <c r="C106">
        <v>44.387999999999998</v>
      </c>
    </row>
    <row r="107" spans="1:3" x14ac:dyDescent="0.35">
      <c r="A107">
        <v>2</v>
      </c>
      <c r="B107">
        <v>15.374000000000001</v>
      </c>
      <c r="C107">
        <v>42.688000000000002</v>
      </c>
    </row>
    <row r="108" spans="1:3" x14ac:dyDescent="0.35">
      <c r="A108">
        <v>3</v>
      </c>
      <c r="B108">
        <v>13.794</v>
      </c>
      <c r="C108">
        <v>44.537999999999997</v>
      </c>
    </row>
    <row r="109" spans="1:3" x14ac:dyDescent="0.35">
      <c r="A109">
        <v>4</v>
      </c>
      <c r="B109">
        <v>6.0289999999999999</v>
      </c>
      <c r="C109">
        <v>47.235999999999997</v>
      </c>
    </row>
    <row r="110" spans="1:3" x14ac:dyDescent="0.35">
      <c r="A110">
        <v>5</v>
      </c>
      <c r="B110">
        <v>163.744</v>
      </c>
      <c r="C110">
        <v>43.198</v>
      </c>
    </row>
    <row r="111" spans="1:3" x14ac:dyDescent="0.35">
      <c r="A111">
        <v>6</v>
      </c>
      <c r="B111">
        <v>7.891</v>
      </c>
      <c r="C111">
        <v>44.606000000000002</v>
      </c>
    </row>
    <row r="112" spans="1:3" x14ac:dyDescent="0.35">
      <c r="A112">
        <v>7</v>
      </c>
      <c r="B112">
        <v>8.2390000000000008</v>
      </c>
      <c r="C112">
        <v>45.975999999999999</v>
      </c>
    </row>
    <row r="113" spans="1:3" x14ac:dyDescent="0.35">
      <c r="A113">
        <v>8</v>
      </c>
      <c r="B113">
        <v>2.7509999999999999</v>
      </c>
      <c r="C113">
        <v>41.984000000000002</v>
      </c>
    </row>
    <row r="114" spans="1:3" x14ac:dyDescent="0.35">
      <c r="A114">
        <v>1</v>
      </c>
      <c r="B114">
        <v>162.68799999999999</v>
      </c>
      <c r="C114">
        <v>43.302999999999997</v>
      </c>
    </row>
    <row r="115" spans="1:3" x14ac:dyDescent="0.35">
      <c r="A115">
        <v>2</v>
      </c>
      <c r="B115">
        <v>1.7330000000000001</v>
      </c>
      <c r="C115">
        <v>43.125999999999998</v>
      </c>
    </row>
    <row r="116" spans="1:3" x14ac:dyDescent="0.35">
      <c r="A116">
        <v>3</v>
      </c>
      <c r="B116">
        <v>19.032</v>
      </c>
      <c r="C116">
        <v>42.313000000000002</v>
      </c>
    </row>
    <row r="117" spans="1:3" x14ac:dyDescent="0.35">
      <c r="A117">
        <v>4</v>
      </c>
      <c r="B117">
        <v>172.143</v>
      </c>
      <c r="C117">
        <v>43.664999999999999</v>
      </c>
    </row>
    <row r="118" spans="1:3" x14ac:dyDescent="0.35">
      <c r="A118">
        <v>5</v>
      </c>
      <c r="B118">
        <v>7.1980000000000004</v>
      </c>
      <c r="C118">
        <v>45.161999999999999</v>
      </c>
    </row>
    <row r="119" spans="1:3" x14ac:dyDescent="0.35">
      <c r="A119">
        <v>6</v>
      </c>
      <c r="B119">
        <v>5.0730000000000004</v>
      </c>
      <c r="C119">
        <v>42.959000000000003</v>
      </c>
    </row>
    <row r="120" spans="1:3" x14ac:dyDescent="0.35">
      <c r="A120">
        <v>7</v>
      </c>
      <c r="B120">
        <v>17.227</v>
      </c>
      <c r="C120">
        <v>41.878999999999998</v>
      </c>
    </row>
    <row r="121" spans="1:3" x14ac:dyDescent="0.35">
      <c r="A121">
        <v>8</v>
      </c>
      <c r="B121">
        <v>5.3689999999999998</v>
      </c>
      <c r="C121">
        <v>41.421999999999997</v>
      </c>
    </row>
    <row r="122" spans="1:3" x14ac:dyDescent="0.35">
      <c r="A122">
        <v>9</v>
      </c>
      <c r="B122">
        <v>10.893000000000001</v>
      </c>
      <c r="C122">
        <v>47.996000000000002</v>
      </c>
    </row>
    <row r="123" spans="1:3" x14ac:dyDescent="0.35">
      <c r="A123">
        <v>10</v>
      </c>
      <c r="B123">
        <v>-5.319</v>
      </c>
      <c r="C123">
        <v>45.155000000000001</v>
      </c>
    </row>
    <row r="124" spans="1:3" x14ac:dyDescent="0.35">
      <c r="A124">
        <v>11</v>
      </c>
      <c r="B124">
        <v>5.7750000000000004</v>
      </c>
      <c r="C124">
        <v>47.761000000000003</v>
      </c>
    </row>
    <row r="125" spans="1:3" x14ac:dyDescent="0.35">
      <c r="A125">
        <v>12</v>
      </c>
      <c r="B125">
        <v>18.559999999999999</v>
      </c>
      <c r="C125">
        <v>44.811</v>
      </c>
    </row>
    <row r="126" spans="1:3" x14ac:dyDescent="0.35">
      <c r="A126">
        <v>13</v>
      </c>
      <c r="B126">
        <v>162.41800000000001</v>
      </c>
      <c r="C126">
        <v>47.732999999999997</v>
      </c>
    </row>
    <row r="127" spans="1:3" x14ac:dyDescent="0.35">
      <c r="A127">
        <v>14</v>
      </c>
      <c r="B127">
        <v>10.539</v>
      </c>
      <c r="C127">
        <v>45.771999999999998</v>
      </c>
    </row>
    <row r="128" spans="1:3" x14ac:dyDescent="0.35">
      <c r="A128">
        <v>1</v>
      </c>
      <c r="B128">
        <v>146.31</v>
      </c>
      <c r="C128">
        <v>44.246000000000002</v>
      </c>
    </row>
    <row r="129" spans="1:3" x14ac:dyDescent="0.35">
      <c r="A129">
        <v>2</v>
      </c>
      <c r="B129">
        <v>20.667999999999999</v>
      </c>
      <c r="C129">
        <v>46.652999999999999</v>
      </c>
    </row>
    <row r="130" spans="1:3" x14ac:dyDescent="0.35">
      <c r="A130">
        <v>3</v>
      </c>
      <c r="B130">
        <v>18.733000000000001</v>
      </c>
      <c r="C130">
        <v>42.564999999999998</v>
      </c>
    </row>
    <row r="131" spans="1:3" x14ac:dyDescent="0.35">
      <c r="A131">
        <v>4</v>
      </c>
      <c r="B131">
        <v>14.808</v>
      </c>
      <c r="C131">
        <v>41.936</v>
      </c>
    </row>
    <row r="132" spans="1:3" x14ac:dyDescent="0.35">
      <c r="A132">
        <v>5</v>
      </c>
      <c r="B132">
        <v>26.776</v>
      </c>
      <c r="C132">
        <v>47.066000000000003</v>
      </c>
    </row>
    <row r="133" spans="1:3" x14ac:dyDescent="0.35">
      <c r="A133">
        <v>6</v>
      </c>
      <c r="B133">
        <v>11.065</v>
      </c>
      <c r="C133">
        <v>39.253999999999998</v>
      </c>
    </row>
    <row r="134" spans="1:3" x14ac:dyDescent="0.35">
      <c r="A134">
        <v>7</v>
      </c>
      <c r="B134">
        <v>-4.4489999999999998</v>
      </c>
      <c r="C134">
        <v>41.055</v>
      </c>
    </row>
    <row r="135" spans="1:3" x14ac:dyDescent="0.35">
      <c r="A135">
        <v>8</v>
      </c>
      <c r="B135">
        <v>3.6880000000000002</v>
      </c>
      <c r="C135">
        <v>44.674999999999997</v>
      </c>
    </row>
    <row r="136" spans="1:3" x14ac:dyDescent="0.35">
      <c r="A136">
        <v>9</v>
      </c>
      <c r="B136">
        <v>11.444000000000001</v>
      </c>
      <c r="C136">
        <v>45.406999999999996</v>
      </c>
    </row>
    <row r="137" spans="1:3" x14ac:dyDescent="0.35">
      <c r="A137">
        <v>10</v>
      </c>
      <c r="B137">
        <v>11.291</v>
      </c>
      <c r="C137">
        <v>45.62</v>
      </c>
    </row>
    <row r="138" spans="1:3" x14ac:dyDescent="0.35">
      <c r="A138">
        <v>11</v>
      </c>
      <c r="B138">
        <v>9.2769999999999992</v>
      </c>
      <c r="C138">
        <v>43.363</v>
      </c>
    </row>
    <row r="139" spans="1:3" x14ac:dyDescent="0.35">
      <c r="A139">
        <v>12</v>
      </c>
      <c r="B139">
        <v>17.696000000000002</v>
      </c>
      <c r="C139">
        <v>41.905000000000001</v>
      </c>
    </row>
    <row r="140" spans="1:3" x14ac:dyDescent="0.35">
      <c r="A140">
        <v>1</v>
      </c>
      <c r="B140">
        <v>24.530999999999999</v>
      </c>
      <c r="C140">
        <v>44.567</v>
      </c>
    </row>
    <row r="141" spans="1:3" x14ac:dyDescent="0.35">
      <c r="A141">
        <v>2</v>
      </c>
      <c r="B141">
        <v>171.328</v>
      </c>
      <c r="C141">
        <v>43.569000000000003</v>
      </c>
    </row>
    <row r="142" spans="1:3" x14ac:dyDescent="0.35">
      <c r="A142">
        <v>3</v>
      </c>
      <c r="B142">
        <v>146.98400000000001</v>
      </c>
      <c r="C142">
        <v>45.802</v>
      </c>
    </row>
    <row r="143" spans="1:3" x14ac:dyDescent="0.35">
      <c r="A143">
        <v>4</v>
      </c>
      <c r="B143">
        <v>23.032</v>
      </c>
      <c r="C143">
        <v>45.704000000000001</v>
      </c>
    </row>
    <row r="144" spans="1:3" x14ac:dyDescent="0.35">
      <c r="A144">
        <v>5</v>
      </c>
      <c r="B144">
        <v>11.725</v>
      </c>
      <c r="C144">
        <v>42.082999999999998</v>
      </c>
    </row>
    <row r="145" spans="1:3" x14ac:dyDescent="0.35">
      <c r="A145">
        <v>6</v>
      </c>
      <c r="B145">
        <v>13.536</v>
      </c>
      <c r="C145">
        <v>43.182000000000002</v>
      </c>
    </row>
    <row r="146" spans="1:3" x14ac:dyDescent="0.35">
      <c r="A146">
        <v>7</v>
      </c>
      <c r="B146">
        <v>170.292</v>
      </c>
      <c r="C146">
        <v>44.722000000000001</v>
      </c>
    </row>
    <row r="147" spans="1:3" x14ac:dyDescent="0.35">
      <c r="A147">
        <v>8</v>
      </c>
      <c r="B147">
        <v>170.57</v>
      </c>
      <c r="C147">
        <v>45.552</v>
      </c>
    </row>
    <row r="148" spans="1:3" x14ac:dyDescent="0.35">
      <c r="A148">
        <v>9</v>
      </c>
      <c r="B148">
        <v>4.9779999999999998</v>
      </c>
      <c r="C148">
        <v>44.795000000000002</v>
      </c>
    </row>
    <row r="149" spans="1:3" x14ac:dyDescent="0.35">
      <c r="A149">
        <v>10</v>
      </c>
      <c r="B149">
        <v>6.6440000000000001</v>
      </c>
      <c r="C149">
        <v>43.674999999999997</v>
      </c>
    </row>
    <row r="150" spans="1:3" x14ac:dyDescent="0.35">
      <c r="A150">
        <v>1</v>
      </c>
      <c r="B150">
        <v>16.977</v>
      </c>
      <c r="C150">
        <v>47.183</v>
      </c>
    </row>
    <row r="151" spans="1:3" x14ac:dyDescent="0.35">
      <c r="A151">
        <v>2</v>
      </c>
      <c r="B151">
        <v>28.06</v>
      </c>
      <c r="C151">
        <v>43.344000000000001</v>
      </c>
    </row>
    <row r="152" spans="1:3" x14ac:dyDescent="0.35">
      <c r="A152">
        <v>3</v>
      </c>
      <c r="B152">
        <v>167.87700000000001</v>
      </c>
      <c r="C152">
        <v>44.095999999999997</v>
      </c>
    </row>
    <row r="153" spans="1:3" x14ac:dyDescent="0.35">
      <c r="A153">
        <v>4</v>
      </c>
      <c r="B153">
        <v>9.1790000000000003</v>
      </c>
      <c r="C153">
        <v>43.908000000000001</v>
      </c>
    </row>
    <row r="154" spans="1:3" x14ac:dyDescent="0.35">
      <c r="A154">
        <v>5</v>
      </c>
      <c r="B154">
        <v>41.335000000000001</v>
      </c>
      <c r="C154">
        <v>42.182000000000002</v>
      </c>
    </row>
    <row r="155" spans="1:3" x14ac:dyDescent="0.35">
      <c r="A155">
        <v>1</v>
      </c>
      <c r="B155">
        <v>171.79400000000001</v>
      </c>
      <c r="C155">
        <v>41.436</v>
      </c>
    </row>
    <row r="156" spans="1:3" x14ac:dyDescent="0.35">
      <c r="A156">
        <v>2</v>
      </c>
      <c r="B156">
        <v>-32.567</v>
      </c>
      <c r="C156">
        <v>46.262999999999998</v>
      </c>
    </row>
    <row r="157" spans="1:3" x14ac:dyDescent="0.35">
      <c r="A157">
        <v>3</v>
      </c>
      <c r="B157">
        <v>159.00200000000001</v>
      </c>
      <c r="C157">
        <v>40.177999999999997</v>
      </c>
    </row>
    <row r="158" spans="1:3" x14ac:dyDescent="0.35">
      <c r="A158">
        <v>4</v>
      </c>
      <c r="B158">
        <v>0.13900000000000001</v>
      </c>
      <c r="C158">
        <v>48.21</v>
      </c>
    </row>
    <row r="159" spans="1:3" x14ac:dyDescent="0.35">
      <c r="A159">
        <v>5</v>
      </c>
      <c r="B159">
        <v>151.29599999999999</v>
      </c>
      <c r="C159">
        <v>45.692999999999998</v>
      </c>
    </row>
    <row r="160" spans="1:3" x14ac:dyDescent="0.35">
      <c r="A160">
        <v>6</v>
      </c>
      <c r="B160">
        <v>144.38</v>
      </c>
      <c r="C160">
        <v>44.228000000000002</v>
      </c>
    </row>
    <row r="161" spans="1:3" x14ac:dyDescent="0.35">
      <c r="A161">
        <v>7</v>
      </c>
      <c r="B161">
        <v>10.332000000000001</v>
      </c>
      <c r="C161">
        <v>43.823</v>
      </c>
    </row>
    <row r="162" spans="1:3" x14ac:dyDescent="0.35">
      <c r="A162">
        <v>8</v>
      </c>
      <c r="B162">
        <v>155.9</v>
      </c>
      <c r="C162">
        <v>46.121000000000002</v>
      </c>
    </row>
    <row r="163" spans="1:3" x14ac:dyDescent="0.35">
      <c r="A163">
        <v>9</v>
      </c>
      <c r="B163">
        <v>13.518000000000001</v>
      </c>
      <c r="C163">
        <v>45.942</v>
      </c>
    </row>
    <row r="164" spans="1:3" x14ac:dyDescent="0.35">
      <c r="A164">
        <v>10</v>
      </c>
      <c r="B164">
        <v>170.24100000000001</v>
      </c>
      <c r="C164">
        <v>44.534999999999997</v>
      </c>
    </row>
    <row r="165" spans="1:3" x14ac:dyDescent="0.35">
      <c r="A165">
        <v>11</v>
      </c>
      <c r="B165">
        <v>20.484000000000002</v>
      </c>
      <c r="C165">
        <v>43.363999999999997</v>
      </c>
    </row>
    <row r="166" spans="1:3" x14ac:dyDescent="0.35">
      <c r="A166">
        <v>12</v>
      </c>
      <c r="B166">
        <v>151.78700000000001</v>
      </c>
      <c r="C166">
        <v>44.774999999999999</v>
      </c>
    </row>
    <row r="167" spans="1:3" x14ac:dyDescent="0.35">
      <c r="A167">
        <v>13</v>
      </c>
      <c r="B167">
        <v>25.741</v>
      </c>
      <c r="C167">
        <v>43.542999999999999</v>
      </c>
    </row>
    <row r="168" spans="1:3" x14ac:dyDescent="0.35">
      <c r="A168">
        <v>14</v>
      </c>
      <c r="B168">
        <v>157.68899999999999</v>
      </c>
      <c r="C168">
        <v>45.508000000000003</v>
      </c>
    </row>
    <row r="169" spans="1:3" x14ac:dyDescent="0.35">
      <c r="A169">
        <v>15</v>
      </c>
      <c r="B169">
        <v>6.05</v>
      </c>
      <c r="C169">
        <v>45.78</v>
      </c>
    </row>
    <row r="170" spans="1:3" x14ac:dyDescent="0.35">
      <c r="A170">
        <v>16</v>
      </c>
      <c r="B170">
        <v>171.125</v>
      </c>
      <c r="C170">
        <v>44.895000000000003</v>
      </c>
    </row>
    <row r="171" spans="1:3" x14ac:dyDescent="0.35">
      <c r="A171">
        <v>17</v>
      </c>
      <c r="B171">
        <v>10.670999999999999</v>
      </c>
      <c r="C171">
        <v>42.445999999999998</v>
      </c>
    </row>
    <row r="172" spans="1:3" x14ac:dyDescent="0.35">
      <c r="A172">
        <v>18</v>
      </c>
      <c r="B172">
        <v>14.781000000000001</v>
      </c>
      <c r="C172">
        <v>42.093000000000004</v>
      </c>
    </row>
    <row r="173" spans="1:3" x14ac:dyDescent="0.35">
      <c r="A173">
        <v>1</v>
      </c>
      <c r="B173">
        <v>160.85900000000001</v>
      </c>
      <c r="C173">
        <v>43.109000000000002</v>
      </c>
    </row>
    <row r="174" spans="1:3" x14ac:dyDescent="0.35">
      <c r="A174">
        <v>2</v>
      </c>
      <c r="B174">
        <v>125.974</v>
      </c>
      <c r="C174">
        <v>42.015000000000001</v>
      </c>
    </row>
    <row r="175" spans="1:3" x14ac:dyDescent="0.35">
      <c r="A175">
        <v>1</v>
      </c>
      <c r="B175">
        <v>171.083</v>
      </c>
      <c r="C175">
        <v>44.859000000000002</v>
      </c>
    </row>
    <row r="176" spans="1:3" x14ac:dyDescent="0.35">
      <c r="A176">
        <v>2</v>
      </c>
      <c r="B176">
        <v>23.533999999999999</v>
      </c>
      <c r="C176">
        <v>44.587000000000003</v>
      </c>
    </row>
    <row r="177" spans="1:3" x14ac:dyDescent="0.35">
      <c r="A177">
        <v>3</v>
      </c>
      <c r="B177">
        <v>159.13200000000001</v>
      </c>
      <c r="C177">
        <v>44.402999999999999</v>
      </c>
    </row>
    <row r="178" spans="1:3" x14ac:dyDescent="0.35">
      <c r="A178">
        <v>4</v>
      </c>
      <c r="B178">
        <v>153.05099999999999</v>
      </c>
      <c r="C178">
        <v>46.524999999999999</v>
      </c>
    </row>
    <row r="179" spans="1:3" x14ac:dyDescent="0.35">
      <c r="A179">
        <v>5</v>
      </c>
      <c r="B179">
        <v>167.791</v>
      </c>
      <c r="C179">
        <v>43.622</v>
      </c>
    </row>
    <row r="180" spans="1:3" x14ac:dyDescent="0.35">
      <c r="A180">
        <v>6</v>
      </c>
      <c r="B180">
        <v>6.67</v>
      </c>
      <c r="C180">
        <v>45.387999999999998</v>
      </c>
    </row>
    <row r="181" spans="1:3" x14ac:dyDescent="0.35">
      <c r="A181">
        <v>7</v>
      </c>
      <c r="B181">
        <v>9.33</v>
      </c>
      <c r="C181">
        <v>43.362000000000002</v>
      </c>
    </row>
    <row r="182" spans="1:3" x14ac:dyDescent="0.35">
      <c r="A182">
        <v>8</v>
      </c>
      <c r="B182">
        <v>5.0540000000000003</v>
      </c>
      <c r="C182">
        <v>45.103000000000002</v>
      </c>
    </row>
    <row r="183" spans="1:3" x14ac:dyDescent="0.35">
      <c r="A183">
        <v>9</v>
      </c>
      <c r="B183">
        <v>9.3819999999999997</v>
      </c>
      <c r="C183">
        <v>44.994999999999997</v>
      </c>
    </row>
    <row r="184" spans="1:3" x14ac:dyDescent="0.35">
      <c r="A184">
        <v>10</v>
      </c>
      <c r="B184">
        <v>-1.823</v>
      </c>
      <c r="C184">
        <v>40.822000000000003</v>
      </c>
    </row>
    <row r="185" spans="1:3" x14ac:dyDescent="0.35">
      <c r="A185">
        <v>1</v>
      </c>
      <c r="B185">
        <v>162.79900000000001</v>
      </c>
      <c r="C185">
        <v>49.779000000000003</v>
      </c>
    </row>
    <row r="186" spans="1:3" x14ac:dyDescent="0.35">
      <c r="A186">
        <v>2</v>
      </c>
      <c r="B186">
        <v>4.4279999999999999</v>
      </c>
      <c r="C186">
        <v>46.921999999999997</v>
      </c>
    </row>
    <row r="187" spans="1:3" x14ac:dyDescent="0.35">
      <c r="A187">
        <v>3</v>
      </c>
      <c r="B187">
        <v>3.1469999999999998</v>
      </c>
      <c r="C187">
        <v>44.923000000000002</v>
      </c>
    </row>
    <row r="188" spans="1:3" x14ac:dyDescent="0.35">
      <c r="A188">
        <v>4</v>
      </c>
      <c r="B188">
        <v>153.93899999999999</v>
      </c>
      <c r="C188">
        <v>47.015000000000001</v>
      </c>
    </row>
    <row r="189" spans="1:3" x14ac:dyDescent="0.35">
      <c r="A189">
        <v>5</v>
      </c>
      <c r="B189">
        <v>26.649000000000001</v>
      </c>
      <c r="C189">
        <v>46.91</v>
      </c>
    </row>
    <row r="190" spans="1:3" x14ac:dyDescent="0.35">
      <c r="A190">
        <v>6</v>
      </c>
      <c r="B190">
        <v>3.347</v>
      </c>
      <c r="C190">
        <v>39.604999999999997</v>
      </c>
    </row>
    <row r="191" spans="1:3" x14ac:dyDescent="0.35">
      <c r="A191">
        <v>7</v>
      </c>
      <c r="B191">
        <v>179.595</v>
      </c>
      <c r="C191">
        <v>43.622999999999998</v>
      </c>
    </row>
    <row r="192" spans="1:3" x14ac:dyDescent="0.35">
      <c r="A192">
        <v>8</v>
      </c>
      <c r="B192">
        <v>171.49</v>
      </c>
      <c r="C192">
        <v>41.146999999999998</v>
      </c>
    </row>
    <row r="193" spans="1:3" x14ac:dyDescent="0.35">
      <c r="A193">
        <v>9</v>
      </c>
      <c r="B193">
        <v>15.558999999999999</v>
      </c>
      <c r="C193">
        <v>47.122</v>
      </c>
    </row>
    <row r="194" spans="1:3" x14ac:dyDescent="0.35">
      <c r="A194">
        <v>10</v>
      </c>
      <c r="B194">
        <v>24.079000000000001</v>
      </c>
      <c r="C194">
        <v>42.503999999999998</v>
      </c>
    </row>
    <row r="195" spans="1:3" x14ac:dyDescent="0.35">
      <c r="A195">
        <v>11</v>
      </c>
      <c r="B195">
        <v>155.102</v>
      </c>
      <c r="C195">
        <v>45.033000000000001</v>
      </c>
    </row>
    <row r="196" spans="1:3" x14ac:dyDescent="0.35">
      <c r="A196">
        <v>12</v>
      </c>
      <c r="B196">
        <v>18.143000000000001</v>
      </c>
      <c r="C196">
        <v>43.066000000000003</v>
      </c>
    </row>
    <row r="197" spans="1:3" x14ac:dyDescent="0.35">
      <c r="A197">
        <v>13</v>
      </c>
      <c r="B197">
        <v>-10.680999999999999</v>
      </c>
      <c r="C197">
        <v>44.078000000000003</v>
      </c>
    </row>
    <row r="198" spans="1:3" x14ac:dyDescent="0.35">
      <c r="A198">
        <v>14</v>
      </c>
      <c r="B198">
        <v>-6.4349999999999996</v>
      </c>
      <c r="C198">
        <v>46.070999999999998</v>
      </c>
    </row>
    <row r="199" spans="1:3" x14ac:dyDescent="0.35">
      <c r="A199">
        <v>15</v>
      </c>
      <c r="B199">
        <v>-9.5719999999999992</v>
      </c>
      <c r="C199">
        <v>46.347999999999999</v>
      </c>
    </row>
    <row r="200" spans="1:3" x14ac:dyDescent="0.35">
      <c r="A200">
        <v>1</v>
      </c>
      <c r="B200">
        <v>171.625</v>
      </c>
      <c r="C200">
        <v>43.390999999999998</v>
      </c>
    </row>
    <row r="201" spans="1:3" x14ac:dyDescent="0.35">
      <c r="A201">
        <v>2</v>
      </c>
      <c r="B201">
        <v>16.995999999999999</v>
      </c>
      <c r="C201">
        <v>45.615000000000002</v>
      </c>
    </row>
    <row r="202" spans="1:3" x14ac:dyDescent="0.35">
      <c r="A202">
        <v>3</v>
      </c>
      <c r="B202">
        <v>-4.8650000000000002</v>
      </c>
      <c r="C202">
        <v>43.625</v>
      </c>
    </row>
    <row r="203" spans="1:3" x14ac:dyDescent="0.35">
      <c r="A203">
        <v>4</v>
      </c>
      <c r="B203">
        <v>4.7149999999999999</v>
      </c>
      <c r="C203">
        <v>45.008000000000003</v>
      </c>
    </row>
    <row r="204" spans="1:3" x14ac:dyDescent="0.35">
      <c r="A204">
        <v>5</v>
      </c>
      <c r="B204">
        <v>164.399</v>
      </c>
      <c r="C204">
        <v>45.850999999999999</v>
      </c>
    </row>
    <row r="205" spans="1:3" x14ac:dyDescent="0.35">
      <c r="A205">
        <v>6</v>
      </c>
      <c r="B205">
        <v>175.27099999999999</v>
      </c>
      <c r="C205">
        <v>42.07</v>
      </c>
    </row>
    <row r="206" spans="1:3" x14ac:dyDescent="0.35">
      <c r="A206">
        <v>7</v>
      </c>
      <c r="B206">
        <v>-7.8470000000000004</v>
      </c>
      <c r="C206">
        <v>46.290999999999997</v>
      </c>
    </row>
    <row r="207" spans="1:3" x14ac:dyDescent="0.35">
      <c r="A207">
        <v>8</v>
      </c>
      <c r="B207">
        <v>3.6539999999999999</v>
      </c>
      <c r="C207">
        <v>42.320999999999998</v>
      </c>
    </row>
    <row r="208" spans="1:3" x14ac:dyDescent="0.35">
      <c r="A208">
        <v>9</v>
      </c>
      <c r="B208">
        <v>-8.9979999999999993</v>
      </c>
      <c r="C208">
        <v>45.075000000000003</v>
      </c>
    </row>
    <row r="209" spans="1:3" x14ac:dyDescent="0.35">
      <c r="A209">
        <v>10</v>
      </c>
      <c r="B209">
        <v>173.99600000000001</v>
      </c>
      <c r="C209">
        <v>41.761000000000003</v>
      </c>
    </row>
    <row r="210" spans="1:3" x14ac:dyDescent="0.35">
      <c r="A210">
        <v>11</v>
      </c>
      <c r="B210">
        <v>17.675999999999998</v>
      </c>
      <c r="C210">
        <v>43.911999999999999</v>
      </c>
    </row>
    <row r="211" spans="1:3" x14ac:dyDescent="0.35">
      <c r="A211">
        <v>1</v>
      </c>
      <c r="B211">
        <v>4.82</v>
      </c>
      <c r="C211">
        <v>46.131</v>
      </c>
    </row>
    <row r="212" spans="1:3" x14ac:dyDescent="0.35">
      <c r="A212">
        <v>2</v>
      </c>
      <c r="B212">
        <v>-174.73099999999999</v>
      </c>
      <c r="C212">
        <v>43.048999999999999</v>
      </c>
    </row>
    <row r="213" spans="1:3" x14ac:dyDescent="0.35">
      <c r="A213">
        <v>3</v>
      </c>
      <c r="B213">
        <v>3.403</v>
      </c>
      <c r="C213">
        <v>43.097999999999999</v>
      </c>
    </row>
    <row r="214" spans="1:3" x14ac:dyDescent="0.35">
      <c r="A214">
        <v>4</v>
      </c>
      <c r="B214">
        <v>3.226</v>
      </c>
      <c r="C214">
        <v>42.701999999999998</v>
      </c>
    </row>
    <row r="215" spans="1:3" x14ac:dyDescent="0.35">
      <c r="A215">
        <v>5</v>
      </c>
      <c r="B215">
        <v>178.08099999999999</v>
      </c>
      <c r="C215">
        <v>43.976999999999997</v>
      </c>
    </row>
    <row r="216" spans="1:3" x14ac:dyDescent="0.35">
      <c r="A216">
        <v>6</v>
      </c>
      <c r="B216">
        <v>3.1019999999999999</v>
      </c>
      <c r="C216">
        <v>44.405000000000001</v>
      </c>
    </row>
    <row r="217" spans="1:3" x14ac:dyDescent="0.35">
      <c r="A217">
        <v>7</v>
      </c>
      <c r="B217">
        <v>30.216999999999999</v>
      </c>
      <c r="C217">
        <v>48.978999999999999</v>
      </c>
    </row>
    <row r="218" spans="1:3" x14ac:dyDescent="0.35">
      <c r="A218">
        <v>8</v>
      </c>
      <c r="B218">
        <v>-1.448</v>
      </c>
      <c r="C218">
        <v>42.957999999999998</v>
      </c>
    </row>
    <row r="219" spans="1:3" x14ac:dyDescent="0.35">
      <c r="A219">
        <v>9</v>
      </c>
      <c r="B219">
        <v>1.3069999999999999</v>
      </c>
      <c r="C219">
        <v>40.784999999999997</v>
      </c>
    </row>
    <row r="220" spans="1:3" x14ac:dyDescent="0.35">
      <c r="A220">
        <v>10</v>
      </c>
      <c r="B220">
        <v>4.2889999999999997</v>
      </c>
      <c r="C220">
        <v>46.640999999999998</v>
      </c>
    </row>
    <row r="221" spans="1:3" x14ac:dyDescent="0.35">
      <c r="A221">
        <v>11</v>
      </c>
      <c r="B221">
        <v>-8.1530000000000005</v>
      </c>
      <c r="C221">
        <v>41.817</v>
      </c>
    </row>
    <row r="222" spans="1:3" x14ac:dyDescent="0.35">
      <c r="A222">
        <v>1</v>
      </c>
      <c r="B222">
        <v>146.53899999999999</v>
      </c>
      <c r="C222">
        <v>43.872</v>
      </c>
    </row>
    <row r="223" spans="1:3" x14ac:dyDescent="0.35">
      <c r="A223">
        <v>2</v>
      </c>
      <c r="B223">
        <v>174.392</v>
      </c>
      <c r="C223">
        <v>39.402999999999999</v>
      </c>
    </row>
    <row r="224" spans="1:3" x14ac:dyDescent="0.35">
      <c r="A224">
        <v>3</v>
      </c>
      <c r="B224">
        <v>163.72399999999999</v>
      </c>
      <c r="C224">
        <v>44.863</v>
      </c>
    </row>
    <row r="225" spans="1:3" x14ac:dyDescent="0.35">
      <c r="A225">
        <v>4</v>
      </c>
      <c r="B225">
        <v>159.87299999999999</v>
      </c>
      <c r="C225">
        <v>47.957999999999998</v>
      </c>
    </row>
    <row r="226" spans="1:3" x14ac:dyDescent="0.35">
      <c r="A226">
        <v>5</v>
      </c>
      <c r="B226">
        <v>161.69</v>
      </c>
      <c r="C226">
        <v>45.527000000000001</v>
      </c>
    </row>
    <row r="227" spans="1:3" x14ac:dyDescent="0.35">
      <c r="A227">
        <v>6</v>
      </c>
      <c r="B227">
        <v>11.422000000000001</v>
      </c>
      <c r="C227">
        <v>39.284999999999997</v>
      </c>
    </row>
    <row r="228" spans="1:3" x14ac:dyDescent="0.35">
      <c r="A228">
        <v>7</v>
      </c>
      <c r="B228">
        <v>165.74700000000001</v>
      </c>
      <c r="C228">
        <v>45.323999999999998</v>
      </c>
    </row>
    <row r="229" spans="1:3" x14ac:dyDescent="0.35">
      <c r="A229">
        <v>8</v>
      </c>
      <c r="B229">
        <v>146.441</v>
      </c>
      <c r="C229">
        <v>47.624000000000002</v>
      </c>
    </row>
    <row r="230" spans="1:3" x14ac:dyDescent="0.35">
      <c r="A230">
        <v>9</v>
      </c>
      <c r="B230">
        <v>172.755</v>
      </c>
      <c r="C230">
        <v>46.738</v>
      </c>
    </row>
    <row r="231" spans="1:3" x14ac:dyDescent="0.35">
      <c r="A231">
        <v>10</v>
      </c>
      <c r="B231">
        <v>159.87700000000001</v>
      </c>
      <c r="C231">
        <v>41.344999999999999</v>
      </c>
    </row>
    <row r="232" spans="1:3" x14ac:dyDescent="0.35">
      <c r="A232">
        <v>11</v>
      </c>
      <c r="B232">
        <v>17.677</v>
      </c>
      <c r="C232">
        <v>43.219000000000001</v>
      </c>
    </row>
    <row r="233" spans="1:3" x14ac:dyDescent="0.35">
      <c r="A233">
        <v>12</v>
      </c>
      <c r="B233">
        <v>164.89</v>
      </c>
      <c r="C233">
        <v>40.700000000000003</v>
      </c>
    </row>
    <row r="234" spans="1:3" x14ac:dyDescent="0.35">
      <c r="A234">
        <v>13</v>
      </c>
      <c r="B234">
        <v>142.16499999999999</v>
      </c>
      <c r="C234">
        <v>39.204000000000001</v>
      </c>
    </row>
    <row r="235" spans="1:3" x14ac:dyDescent="0.35">
      <c r="A235">
        <v>1</v>
      </c>
      <c r="B235">
        <v>10.125</v>
      </c>
      <c r="C235">
        <v>42.22</v>
      </c>
    </row>
    <row r="236" spans="1:3" x14ac:dyDescent="0.35">
      <c r="A236">
        <v>2</v>
      </c>
      <c r="B236">
        <v>-1.127</v>
      </c>
      <c r="C236">
        <v>47.664999999999999</v>
      </c>
    </row>
    <row r="237" spans="1:3" x14ac:dyDescent="0.35">
      <c r="A237">
        <v>3</v>
      </c>
      <c r="B237">
        <v>161.82300000000001</v>
      </c>
      <c r="C237">
        <v>43.828000000000003</v>
      </c>
    </row>
    <row r="238" spans="1:3" x14ac:dyDescent="0.35">
      <c r="A238">
        <v>4</v>
      </c>
      <c r="B238">
        <v>10.625999999999999</v>
      </c>
      <c r="C238">
        <v>43.639000000000003</v>
      </c>
    </row>
    <row r="239" spans="1:3" x14ac:dyDescent="0.35">
      <c r="A239">
        <v>5</v>
      </c>
      <c r="B239">
        <v>160.56</v>
      </c>
      <c r="C239">
        <v>45.069000000000003</v>
      </c>
    </row>
    <row r="240" spans="1:3" x14ac:dyDescent="0.35">
      <c r="A240">
        <v>6</v>
      </c>
      <c r="B240">
        <v>-2.968</v>
      </c>
      <c r="C240">
        <v>46.780999999999999</v>
      </c>
    </row>
    <row r="241" spans="1:3" x14ac:dyDescent="0.35">
      <c r="A241">
        <v>7</v>
      </c>
      <c r="B241">
        <v>6.3280000000000003</v>
      </c>
      <c r="C241">
        <v>40.402000000000001</v>
      </c>
    </row>
    <row r="242" spans="1:3" x14ac:dyDescent="0.35">
      <c r="A242">
        <v>8</v>
      </c>
      <c r="B242">
        <v>171.23</v>
      </c>
      <c r="C242">
        <v>43.302</v>
      </c>
    </row>
    <row r="243" spans="1:3" x14ac:dyDescent="0.35">
      <c r="A243">
        <v>9</v>
      </c>
      <c r="B243">
        <v>9.1950000000000003</v>
      </c>
      <c r="C243">
        <v>43.747</v>
      </c>
    </row>
    <row r="244" spans="1:3" x14ac:dyDescent="0.35">
      <c r="A244">
        <v>10</v>
      </c>
      <c r="B244">
        <v>170.86099999999999</v>
      </c>
      <c r="C244">
        <v>43.031999999999996</v>
      </c>
    </row>
    <row r="245" spans="1:3" x14ac:dyDescent="0.35">
      <c r="A245">
        <v>11</v>
      </c>
      <c r="B245">
        <v>-0.60699999999999998</v>
      </c>
      <c r="C245">
        <v>43.963999999999999</v>
      </c>
    </row>
    <row r="246" spans="1:3" x14ac:dyDescent="0.35">
      <c r="A246">
        <v>12</v>
      </c>
      <c r="B246">
        <v>161.88</v>
      </c>
      <c r="C246">
        <v>44.701999999999998</v>
      </c>
    </row>
    <row r="247" spans="1:3" x14ac:dyDescent="0.35">
      <c r="A247">
        <v>13</v>
      </c>
      <c r="B247">
        <v>7.306</v>
      </c>
      <c r="C247">
        <v>45.808999999999997</v>
      </c>
    </row>
    <row r="248" spans="1:3" x14ac:dyDescent="0.35">
      <c r="A248">
        <v>14</v>
      </c>
      <c r="B248">
        <v>-5.5679999999999996</v>
      </c>
      <c r="C248">
        <v>46.433</v>
      </c>
    </row>
    <row r="249" spans="1:3" x14ac:dyDescent="0.35">
      <c r="A249">
        <v>15</v>
      </c>
      <c r="B249">
        <v>157.63999999999999</v>
      </c>
      <c r="C249">
        <v>47.366999999999997</v>
      </c>
    </row>
    <row r="250" spans="1:3" x14ac:dyDescent="0.35">
      <c r="A250">
        <v>16</v>
      </c>
      <c r="B250">
        <v>-0.88800000000000001</v>
      </c>
      <c r="C250">
        <v>40.082000000000001</v>
      </c>
    </row>
    <row r="251" spans="1:3" x14ac:dyDescent="0.35">
      <c r="A251">
        <v>17</v>
      </c>
      <c r="B251">
        <v>21.433</v>
      </c>
      <c r="C251">
        <v>40.384999999999998</v>
      </c>
    </row>
    <row r="252" spans="1:3" x14ac:dyDescent="0.35">
      <c r="A252">
        <v>18</v>
      </c>
      <c r="B252">
        <v>171.15100000000001</v>
      </c>
      <c r="C252">
        <v>42.918999999999997</v>
      </c>
    </row>
    <row r="253" spans="1:3" x14ac:dyDescent="0.35">
      <c r="A253">
        <v>19</v>
      </c>
      <c r="B253">
        <v>2.8319999999999999</v>
      </c>
      <c r="C253">
        <v>43.843000000000004</v>
      </c>
    </row>
    <row r="254" spans="1:3" x14ac:dyDescent="0.35">
      <c r="A254">
        <v>20</v>
      </c>
      <c r="B254">
        <v>163.47800000000001</v>
      </c>
      <c r="C254">
        <v>45.433999999999997</v>
      </c>
    </row>
    <row r="255" spans="1:3" x14ac:dyDescent="0.35">
      <c r="A255">
        <v>21</v>
      </c>
      <c r="B255">
        <v>-15.586</v>
      </c>
      <c r="C255">
        <v>45.783000000000001</v>
      </c>
    </row>
    <row r="256" spans="1:3" x14ac:dyDescent="0.35">
      <c r="A256">
        <v>22</v>
      </c>
      <c r="B256">
        <v>5.97</v>
      </c>
      <c r="C256">
        <v>47.606999999999999</v>
      </c>
    </row>
    <row r="257" spans="1:3" x14ac:dyDescent="0.35">
      <c r="A257">
        <v>1</v>
      </c>
      <c r="B257">
        <v>164.846</v>
      </c>
      <c r="C257">
        <v>41.677999999999997</v>
      </c>
    </row>
    <row r="258" spans="1:3" x14ac:dyDescent="0.35">
      <c r="A258">
        <v>2</v>
      </c>
      <c r="B258">
        <v>-8.0589999999999993</v>
      </c>
      <c r="C258">
        <v>43.98</v>
      </c>
    </row>
    <row r="259" spans="1:3" x14ac:dyDescent="0.35">
      <c r="A259">
        <v>3</v>
      </c>
      <c r="B259">
        <v>7.9720000000000004</v>
      </c>
      <c r="C259">
        <v>42.850999999999999</v>
      </c>
    </row>
    <row r="260" spans="1:3" x14ac:dyDescent="0.35">
      <c r="A260">
        <v>4</v>
      </c>
      <c r="B260">
        <v>-1.708</v>
      </c>
      <c r="C260">
        <v>43.447000000000003</v>
      </c>
    </row>
    <row r="261" spans="1:3" x14ac:dyDescent="0.35">
      <c r="A261">
        <v>5</v>
      </c>
      <c r="B261">
        <v>1.4850000000000001</v>
      </c>
      <c r="C261">
        <v>47.024000000000001</v>
      </c>
    </row>
    <row r="262" spans="1:3" x14ac:dyDescent="0.35">
      <c r="A262">
        <v>6</v>
      </c>
      <c r="B262">
        <v>3.3849999999999998</v>
      </c>
      <c r="C262">
        <v>41.29</v>
      </c>
    </row>
    <row r="263" spans="1:3" x14ac:dyDescent="0.35">
      <c r="A263">
        <v>7</v>
      </c>
      <c r="B263">
        <v>-6.4509999999999996</v>
      </c>
      <c r="C263">
        <v>43.396999999999998</v>
      </c>
    </row>
    <row r="264" spans="1:3" x14ac:dyDescent="0.35">
      <c r="A264">
        <v>8</v>
      </c>
      <c r="B264">
        <v>-2.222</v>
      </c>
      <c r="C264">
        <v>43.231000000000002</v>
      </c>
    </row>
    <row r="265" spans="1:3" x14ac:dyDescent="0.35">
      <c r="A265">
        <v>9</v>
      </c>
      <c r="B265">
        <v>2.4849999999999999</v>
      </c>
      <c r="C265">
        <v>44.432000000000002</v>
      </c>
    </row>
    <row r="266" spans="1:3" x14ac:dyDescent="0.35">
      <c r="A266">
        <v>10</v>
      </c>
      <c r="B266">
        <v>7.7380000000000004</v>
      </c>
      <c r="C266">
        <v>44.643000000000001</v>
      </c>
    </row>
    <row r="267" spans="1:3" x14ac:dyDescent="0.35">
      <c r="A267">
        <v>11</v>
      </c>
      <c r="B267">
        <v>13.824</v>
      </c>
      <c r="C267">
        <v>45.475999999999999</v>
      </c>
    </row>
    <row r="268" spans="1:3" x14ac:dyDescent="0.35">
      <c r="A268">
        <v>1</v>
      </c>
      <c r="B268">
        <v>16.023</v>
      </c>
      <c r="C268">
        <v>41.887999999999998</v>
      </c>
    </row>
    <row r="269" spans="1:3" x14ac:dyDescent="0.35">
      <c r="A269">
        <v>2</v>
      </c>
      <c r="B269">
        <v>6.133</v>
      </c>
      <c r="C269">
        <v>43.143999999999998</v>
      </c>
    </row>
    <row r="270" spans="1:3" x14ac:dyDescent="0.35">
      <c r="A270">
        <v>3</v>
      </c>
      <c r="B270">
        <v>-6.6710000000000003</v>
      </c>
      <c r="C270">
        <v>45.435000000000002</v>
      </c>
    </row>
    <row r="271" spans="1:3" x14ac:dyDescent="0.35">
      <c r="A271">
        <v>4</v>
      </c>
      <c r="B271">
        <v>-14.497</v>
      </c>
      <c r="C271">
        <v>42.619</v>
      </c>
    </row>
    <row r="272" spans="1:3" x14ac:dyDescent="0.35">
      <c r="A272">
        <v>5</v>
      </c>
      <c r="B272">
        <v>18.068000000000001</v>
      </c>
      <c r="C272">
        <v>44.106000000000002</v>
      </c>
    </row>
    <row r="273" spans="1:3" x14ac:dyDescent="0.35">
      <c r="A273">
        <v>6</v>
      </c>
      <c r="B273">
        <v>7.0949999999999998</v>
      </c>
      <c r="C273">
        <v>43.94</v>
      </c>
    </row>
    <row r="274" spans="1:3" x14ac:dyDescent="0.35">
      <c r="A274">
        <v>7</v>
      </c>
      <c r="B274">
        <v>7.726</v>
      </c>
      <c r="C274">
        <v>43.966000000000001</v>
      </c>
    </row>
    <row r="275" spans="1:3" x14ac:dyDescent="0.35">
      <c r="A275">
        <v>8</v>
      </c>
      <c r="B275">
        <v>2.1379999999999999</v>
      </c>
      <c r="C275">
        <v>42.853000000000002</v>
      </c>
    </row>
    <row r="276" spans="1:3" x14ac:dyDescent="0.35">
      <c r="A276">
        <v>9</v>
      </c>
      <c r="B276">
        <v>0.64400000000000002</v>
      </c>
      <c r="C276">
        <v>46.283000000000001</v>
      </c>
    </row>
    <row r="277" spans="1:3" x14ac:dyDescent="0.35">
      <c r="A277">
        <v>10</v>
      </c>
      <c r="B277">
        <v>15.23</v>
      </c>
      <c r="C277">
        <v>44.567</v>
      </c>
    </row>
    <row r="278" spans="1:3" x14ac:dyDescent="0.35">
      <c r="A278">
        <v>11</v>
      </c>
      <c r="B278">
        <v>169.65</v>
      </c>
      <c r="C278">
        <v>46.993000000000002</v>
      </c>
    </row>
    <row r="279" spans="1:3" x14ac:dyDescent="0.35">
      <c r="A279">
        <v>12</v>
      </c>
      <c r="B279">
        <v>10.28</v>
      </c>
      <c r="C279">
        <v>44.994</v>
      </c>
    </row>
    <row r="280" spans="1:3" x14ac:dyDescent="0.35">
      <c r="A280">
        <v>13</v>
      </c>
      <c r="B280">
        <v>169.45</v>
      </c>
      <c r="C280">
        <v>43.046999999999997</v>
      </c>
    </row>
    <row r="281" spans="1:3" x14ac:dyDescent="0.35">
      <c r="A281">
        <v>14</v>
      </c>
      <c r="B281">
        <v>167.339</v>
      </c>
      <c r="C281">
        <v>43.185000000000002</v>
      </c>
    </row>
    <row r="282" spans="1:3" x14ac:dyDescent="0.35">
      <c r="A282">
        <v>15</v>
      </c>
      <c r="B282">
        <v>172.95099999999999</v>
      </c>
      <c r="C282">
        <v>48.023000000000003</v>
      </c>
    </row>
    <row r="283" spans="1:3" x14ac:dyDescent="0.35">
      <c r="A283">
        <v>16</v>
      </c>
      <c r="B283">
        <v>8.6940000000000008</v>
      </c>
      <c r="C283">
        <v>43.37</v>
      </c>
    </row>
    <row r="284" spans="1:3" x14ac:dyDescent="0.35">
      <c r="A284">
        <v>17</v>
      </c>
      <c r="B284">
        <v>161.28100000000001</v>
      </c>
      <c r="C284">
        <v>42.232999999999997</v>
      </c>
    </row>
    <row r="285" spans="1:3" x14ac:dyDescent="0.35">
      <c r="A285">
        <v>18</v>
      </c>
      <c r="B285">
        <v>-2.7549999999999999</v>
      </c>
      <c r="C285">
        <v>41.372999999999998</v>
      </c>
    </row>
    <row r="286" spans="1:3" x14ac:dyDescent="0.35">
      <c r="A286">
        <v>19</v>
      </c>
      <c r="B286">
        <v>-3.4740000000000002</v>
      </c>
      <c r="C286">
        <v>41.326999999999998</v>
      </c>
    </row>
    <row r="287" spans="1:3" x14ac:dyDescent="0.35">
      <c r="A287">
        <v>1</v>
      </c>
      <c r="B287">
        <v>13.688000000000001</v>
      </c>
      <c r="C287">
        <v>46.503</v>
      </c>
    </row>
    <row r="288" spans="1:3" x14ac:dyDescent="0.35">
      <c r="A288">
        <v>2</v>
      </c>
      <c r="B288">
        <v>10.096</v>
      </c>
      <c r="C288">
        <v>42.420999999999999</v>
      </c>
    </row>
    <row r="289" spans="1:3" x14ac:dyDescent="0.35">
      <c r="A289">
        <v>3</v>
      </c>
      <c r="B289">
        <v>-5.2309999999999999</v>
      </c>
      <c r="C289">
        <v>42.844000000000001</v>
      </c>
    </row>
    <row r="290" spans="1:3" x14ac:dyDescent="0.35">
      <c r="A290">
        <v>4</v>
      </c>
      <c r="B290">
        <v>8.0310000000000006</v>
      </c>
      <c r="C290">
        <v>46.237000000000002</v>
      </c>
    </row>
    <row r="291" spans="1:3" x14ac:dyDescent="0.35">
      <c r="A291">
        <v>5</v>
      </c>
      <c r="B291">
        <v>4.3470000000000004</v>
      </c>
      <c r="C291">
        <v>44.597000000000001</v>
      </c>
    </row>
    <row r="292" spans="1:3" x14ac:dyDescent="0.35">
      <c r="A292">
        <v>6</v>
      </c>
      <c r="B292">
        <v>4.5179999999999998</v>
      </c>
      <c r="C292">
        <v>40.048999999999999</v>
      </c>
    </row>
    <row r="293" spans="1:3" x14ac:dyDescent="0.35">
      <c r="A293">
        <v>7</v>
      </c>
      <c r="B293">
        <v>-1.002</v>
      </c>
      <c r="C293">
        <v>42.935000000000002</v>
      </c>
    </row>
    <row r="294" spans="1:3" x14ac:dyDescent="0.35">
      <c r="A294">
        <v>8</v>
      </c>
      <c r="B294">
        <v>8.0090000000000003</v>
      </c>
      <c r="C294">
        <v>42.859000000000002</v>
      </c>
    </row>
    <row r="295" spans="1:3" x14ac:dyDescent="0.35">
      <c r="A295">
        <v>9</v>
      </c>
      <c r="B295">
        <v>0.53900000000000003</v>
      </c>
      <c r="C295">
        <v>44.073999999999998</v>
      </c>
    </row>
    <row r="296" spans="1:3" x14ac:dyDescent="0.35">
      <c r="A296">
        <v>10</v>
      </c>
      <c r="B296">
        <v>-10.116</v>
      </c>
      <c r="C296">
        <v>45.073999999999998</v>
      </c>
    </row>
    <row r="297" spans="1:3" x14ac:dyDescent="0.35">
      <c r="A297">
        <v>11</v>
      </c>
      <c r="B297">
        <v>12.661</v>
      </c>
      <c r="C297">
        <v>42.658000000000001</v>
      </c>
    </row>
    <row r="298" spans="1:3" x14ac:dyDescent="0.35">
      <c r="A298">
        <v>12</v>
      </c>
      <c r="B298">
        <v>161.00200000000001</v>
      </c>
      <c r="C298">
        <v>46.091999999999999</v>
      </c>
    </row>
    <row r="299" spans="1:3" x14ac:dyDescent="0.35">
      <c r="A299">
        <v>13</v>
      </c>
      <c r="B299">
        <v>-9.7289999999999992</v>
      </c>
      <c r="C299">
        <v>47.966000000000001</v>
      </c>
    </row>
    <row r="300" spans="1:3" x14ac:dyDescent="0.35">
      <c r="A300">
        <v>14</v>
      </c>
      <c r="B300">
        <v>3.4940000000000002</v>
      </c>
      <c r="C300">
        <v>42.680999999999997</v>
      </c>
    </row>
    <row r="301" spans="1:3" x14ac:dyDescent="0.35">
      <c r="A301">
        <v>15</v>
      </c>
      <c r="B301">
        <v>-8.9269999999999996</v>
      </c>
      <c r="C301">
        <v>46.405999999999999</v>
      </c>
    </row>
    <row r="302" spans="1:3" x14ac:dyDescent="0.35">
      <c r="A302">
        <v>16</v>
      </c>
      <c r="B302">
        <v>4.2619999999999996</v>
      </c>
      <c r="C302">
        <v>43.627000000000002</v>
      </c>
    </row>
    <row r="303" spans="1:3" x14ac:dyDescent="0.35">
      <c r="A303">
        <v>1</v>
      </c>
      <c r="B303">
        <v>170.74299999999999</v>
      </c>
      <c r="C303">
        <v>45.819000000000003</v>
      </c>
    </row>
    <row r="304" spans="1:3" x14ac:dyDescent="0.35">
      <c r="A304">
        <v>2</v>
      </c>
      <c r="B304">
        <v>-7.6630000000000003</v>
      </c>
      <c r="C304">
        <v>42.616</v>
      </c>
    </row>
    <row r="305" spans="1:3" x14ac:dyDescent="0.35">
      <c r="A305">
        <v>3</v>
      </c>
      <c r="B305">
        <v>8.5139999999999993</v>
      </c>
      <c r="C305">
        <v>44.021999999999998</v>
      </c>
    </row>
    <row r="306" spans="1:3" x14ac:dyDescent="0.35">
      <c r="A306">
        <v>4</v>
      </c>
      <c r="B306">
        <v>174.85599999999999</v>
      </c>
      <c r="C306">
        <v>49.844999999999999</v>
      </c>
    </row>
    <row r="307" spans="1:3" x14ac:dyDescent="0.35">
      <c r="A307">
        <v>5</v>
      </c>
      <c r="B307">
        <v>15.435</v>
      </c>
      <c r="C307">
        <v>43.256</v>
      </c>
    </row>
    <row r="308" spans="1:3" x14ac:dyDescent="0.35">
      <c r="A308">
        <v>6</v>
      </c>
      <c r="B308">
        <v>151.48599999999999</v>
      </c>
      <c r="C308">
        <v>43.671999999999997</v>
      </c>
    </row>
    <row r="309" spans="1:3" x14ac:dyDescent="0.35">
      <c r="A309">
        <v>7</v>
      </c>
      <c r="B309">
        <v>160.62799999999999</v>
      </c>
      <c r="C309">
        <v>42.829000000000001</v>
      </c>
    </row>
    <row r="310" spans="1:3" x14ac:dyDescent="0.35">
      <c r="A310">
        <v>8</v>
      </c>
      <c r="B310">
        <v>177.226</v>
      </c>
      <c r="C310">
        <v>44.22</v>
      </c>
    </row>
    <row r="311" spans="1:3" x14ac:dyDescent="0.35">
      <c r="A311">
        <v>9</v>
      </c>
      <c r="B311">
        <v>10.893000000000001</v>
      </c>
      <c r="C311">
        <v>42.762</v>
      </c>
    </row>
    <row r="312" spans="1:3" x14ac:dyDescent="0.35">
      <c r="A312">
        <v>10</v>
      </c>
      <c r="B312">
        <v>-5.625</v>
      </c>
      <c r="C312">
        <v>41.786000000000001</v>
      </c>
    </row>
    <row r="313" spans="1:3" x14ac:dyDescent="0.35">
      <c r="A313">
        <v>11</v>
      </c>
      <c r="B313">
        <v>173.62100000000001</v>
      </c>
      <c r="C313">
        <v>47.822000000000003</v>
      </c>
    </row>
    <row r="314" spans="1:3" x14ac:dyDescent="0.35">
      <c r="A314">
        <v>12</v>
      </c>
      <c r="B314">
        <v>150.30500000000001</v>
      </c>
      <c r="C314">
        <v>41.713000000000001</v>
      </c>
    </row>
    <row r="315" spans="1:3" x14ac:dyDescent="0.35">
      <c r="A315">
        <v>1</v>
      </c>
      <c r="B315">
        <v>-0.54</v>
      </c>
      <c r="C315">
        <v>46.926000000000002</v>
      </c>
    </row>
    <row r="316" spans="1:3" x14ac:dyDescent="0.35">
      <c r="A316">
        <v>2</v>
      </c>
      <c r="B316">
        <v>3.79</v>
      </c>
      <c r="C316">
        <v>45.698</v>
      </c>
    </row>
    <row r="317" spans="1:3" x14ac:dyDescent="0.35">
      <c r="A317">
        <v>3</v>
      </c>
      <c r="B317">
        <v>-5.6719999999999997</v>
      </c>
      <c r="C317">
        <v>43.972000000000001</v>
      </c>
    </row>
    <row r="318" spans="1:3" x14ac:dyDescent="0.35">
      <c r="A318">
        <v>4</v>
      </c>
      <c r="B318">
        <v>9.8040000000000003</v>
      </c>
      <c r="C318">
        <v>40.667000000000002</v>
      </c>
    </row>
    <row r="319" spans="1:3" x14ac:dyDescent="0.35">
      <c r="A319">
        <v>5</v>
      </c>
      <c r="B319">
        <v>146.38999999999999</v>
      </c>
      <c r="C319">
        <v>44.048999999999999</v>
      </c>
    </row>
    <row r="320" spans="1:3" x14ac:dyDescent="0.35">
      <c r="A320">
        <v>6</v>
      </c>
      <c r="B320">
        <v>164.15600000000001</v>
      </c>
      <c r="C320">
        <v>45.868000000000002</v>
      </c>
    </row>
    <row r="321" spans="1:3" x14ac:dyDescent="0.35">
      <c r="A321">
        <v>7</v>
      </c>
      <c r="B321">
        <v>6.1580000000000004</v>
      </c>
      <c r="C321">
        <v>46.011000000000003</v>
      </c>
    </row>
    <row r="322" spans="1:3" x14ac:dyDescent="0.35">
      <c r="A322">
        <v>8</v>
      </c>
      <c r="B322">
        <v>171.21199999999999</v>
      </c>
      <c r="C322">
        <v>46.289000000000001</v>
      </c>
    </row>
    <row r="323" spans="1:3" x14ac:dyDescent="0.35">
      <c r="A323">
        <v>9</v>
      </c>
      <c r="B323">
        <v>4.4409999999999998</v>
      </c>
      <c r="C323">
        <v>45.661999999999999</v>
      </c>
    </row>
    <row r="324" spans="1:3" x14ac:dyDescent="0.35">
      <c r="A324">
        <v>10</v>
      </c>
      <c r="B324">
        <v>18.373999999999999</v>
      </c>
      <c r="C324">
        <v>43.701000000000001</v>
      </c>
    </row>
    <row r="325" spans="1:3" x14ac:dyDescent="0.35">
      <c r="A325">
        <v>11</v>
      </c>
      <c r="B325">
        <v>170.488</v>
      </c>
      <c r="C325">
        <v>41.902000000000001</v>
      </c>
    </row>
    <row r="326" spans="1:3" x14ac:dyDescent="0.35">
      <c r="A326">
        <v>12</v>
      </c>
      <c r="B326">
        <v>170.928</v>
      </c>
      <c r="C326">
        <v>46.25</v>
      </c>
    </row>
    <row r="327" spans="1:3" x14ac:dyDescent="0.35">
      <c r="A327">
        <v>13</v>
      </c>
      <c r="B327">
        <v>3.5459999999999998</v>
      </c>
      <c r="C327">
        <v>42.881</v>
      </c>
    </row>
    <row r="328" spans="1:3" x14ac:dyDescent="0.35">
      <c r="A328">
        <v>14</v>
      </c>
      <c r="B328">
        <v>-12.404999999999999</v>
      </c>
      <c r="C328">
        <v>40.805</v>
      </c>
    </row>
    <row r="329" spans="1:3" x14ac:dyDescent="0.35">
      <c r="A329">
        <v>15</v>
      </c>
      <c r="B329">
        <v>153.47800000000001</v>
      </c>
      <c r="C329">
        <v>44.21</v>
      </c>
    </row>
    <row r="330" spans="1:3" x14ac:dyDescent="0.35">
      <c r="A330">
        <v>16</v>
      </c>
      <c r="B330">
        <v>172.518</v>
      </c>
      <c r="C330">
        <v>39.6</v>
      </c>
    </row>
    <row r="331" spans="1:3" x14ac:dyDescent="0.35">
      <c r="A331">
        <v>17</v>
      </c>
      <c r="B331">
        <v>1.24</v>
      </c>
      <c r="C331">
        <v>47.671999999999997</v>
      </c>
    </row>
    <row r="332" spans="1:3" x14ac:dyDescent="0.35">
      <c r="A332">
        <v>18</v>
      </c>
      <c r="B332">
        <v>1.3</v>
      </c>
      <c r="C332">
        <v>42.220999999999997</v>
      </c>
    </row>
    <row r="333" spans="1:3" x14ac:dyDescent="0.35">
      <c r="A333">
        <v>19</v>
      </c>
      <c r="B333">
        <v>9.0519999999999996</v>
      </c>
      <c r="C333">
        <v>44.01</v>
      </c>
    </row>
    <row r="334" spans="1:3" x14ac:dyDescent="0.35">
      <c r="A334">
        <v>20</v>
      </c>
      <c r="B334">
        <v>168.15799999999999</v>
      </c>
      <c r="C334">
        <v>41.999000000000002</v>
      </c>
    </row>
    <row r="335" spans="1:3" x14ac:dyDescent="0.35">
      <c r="A335">
        <v>21</v>
      </c>
      <c r="B335">
        <v>174.99</v>
      </c>
      <c r="C335">
        <v>41.335999999999999</v>
      </c>
    </row>
    <row r="336" spans="1:3" x14ac:dyDescent="0.35">
      <c r="A336">
        <v>22</v>
      </c>
      <c r="B336">
        <v>-2.3140000000000001</v>
      </c>
      <c r="C336">
        <v>43.792000000000002</v>
      </c>
    </row>
    <row r="337" spans="1:3" x14ac:dyDescent="0.35">
      <c r="A337">
        <v>23</v>
      </c>
      <c r="B337">
        <v>0.65500000000000003</v>
      </c>
      <c r="C337">
        <v>38.676000000000002</v>
      </c>
    </row>
    <row r="338" spans="1:3" x14ac:dyDescent="0.35">
      <c r="A338">
        <v>24</v>
      </c>
      <c r="B338">
        <v>175.02600000000001</v>
      </c>
      <c r="C338">
        <v>46.731999999999999</v>
      </c>
    </row>
    <row r="339" spans="1:3" x14ac:dyDescent="0.35">
      <c r="A339">
        <v>25</v>
      </c>
      <c r="B339">
        <v>-6.06</v>
      </c>
      <c r="C339">
        <v>43.262</v>
      </c>
    </row>
    <row r="340" spans="1:3" x14ac:dyDescent="0.35">
      <c r="A340">
        <v>26</v>
      </c>
      <c r="B340">
        <v>160.83699999999999</v>
      </c>
      <c r="C340">
        <v>42.19</v>
      </c>
    </row>
    <row r="341" spans="1:3" x14ac:dyDescent="0.35">
      <c r="A341">
        <v>1</v>
      </c>
      <c r="B341">
        <v>-179.41900000000001</v>
      </c>
      <c r="C341">
        <v>43.612000000000002</v>
      </c>
    </row>
    <row r="342" spans="1:3" x14ac:dyDescent="0.35">
      <c r="A342">
        <v>2</v>
      </c>
      <c r="B342">
        <v>5.8120000000000003</v>
      </c>
      <c r="C342">
        <v>41.465000000000003</v>
      </c>
    </row>
    <row r="343" spans="1:3" x14ac:dyDescent="0.35">
      <c r="A343">
        <v>3</v>
      </c>
      <c r="B343">
        <v>-4.78</v>
      </c>
      <c r="C343">
        <v>43.317999999999998</v>
      </c>
    </row>
    <row r="344" spans="1:3" x14ac:dyDescent="0.35">
      <c r="A344">
        <v>4</v>
      </c>
      <c r="B344">
        <v>8.2680000000000007</v>
      </c>
      <c r="C344">
        <v>47.64</v>
      </c>
    </row>
    <row r="345" spans="1:3" x14ac:dyDescent="0.35">
      <c r="A345">
        <v>5</v>
      </c>
      <c r="B345">
        <v>-173.07</v>
      </c>
      <c r="C345">
        <v>48.234000000000002</v>
      </c>
    </row>
    <row r="346" spans="1:3" x14ac:dyDescent="0.35">
      <c r="A346">
        <v>1</v>
      </c>
      <c r="B346">
        <v>-10.499000000000001</v>
      </c>
      <c r="C346">
        <v>43.091000000000001</v>
      </c>
    </row>
    <row r="347" spans="1:3" x14ac:dyDescent="0.35">
      <c r="A347">
        <v>2</v>
      </c>
      <c r="B347">
        <v>7.5609999999999999</v>
      </c>
      <c r="C347">
        <v>42.218000000000004</v>
      </c>
    </row>
    <row r="348" spans="1:3" x14ac:dyDescent="0.35">
      <c r="A348">
        <v>3</v>
      </c>
      <c r="B348">
        <v>8.1769999999999996</v>
      </c>
      <c r="C348">
        <v>38.539000000000001</v>
      </c>
    </row>
    <row r="349" spans="1:3" x14ac:dyDescent="0.35">
      <c r="A349">
        <v>4</v>
      </c>
      <c r="B349">
        <v>166.423</v>
      </c>
      <c r="C349">
        <v>44.807000000000002</v>
      </c>
    </row>
    <row r="350" spans="1:3" x14ac:dyDescent="0.35">
      <c r="A350">
        <v>5</v>
      </c>
      <c r="B350">
        <v>-0.38700000000000001</v>
      </c>
      <c r="C350">
        <v>43.851999999999997</v>
      </c>
    </row>
    <row r="351" spans="1:3" x14ac:dyDescent="0.35">
      <c r="A351">
        <v>6</v>
      </c>
      <c r="B351">
        <v>174.768</v>
      </c>
      <c r="C351">
        <v>40.613</v>
      </c>
    </row>
    <row r="352" spans="1:3" x14ac:dyDescent="0.35">
      <c r="A352">
        <v>7</v>
      </c>
      <c r="B352">
        <v>-173.88399999999999</v>
      </c>
      <c r="C352">
        <v>45.89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ac466e-05af-4c0e-8ebc-d1787ad52752" xsi:nil="true"/>
    <lcf76f155ced4ddcb4097134ff3c332f xmlns="a28ca0b7-ad04-44a4-904a-d171f52b132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8761049B08244C895928375286221E" ma:contentTypeVersion="18" ma:contentTypeDescription="Create a new document." ma:contentTypeScope="" ma:versionID="1111be878632e0e7184a38603ace5db9">
  <xsd:schema xmlns:xsd="http://www.w3.org/2001/XMLSchema" xmlns:xs="http://www.w3.org/2001/XMLSchema" xmlns:p="http://schemas.microsoft.com/office/2006/metadata/properties" xmlns:ns2="a28ca0b7-ad04-44a4-904a-d171f52b132b" xmlns:ns3="80ac466e-05af-4c0e-8ebc-d1787ad52752" targetNamespace="http://schemas.microsoft.com/office/2006/metadata/properties" ma:root="true" ma:fieldsID="6a5695e86951e6bb5f01247d3f343bf7" ns2:_="" ns3:_="">
    <xsd:import namespace="a28ca0b7-ad04-44a4-904a-d171f52b132b"/>
    <xsd:import namespace="80ac466e-05af-4c0e-8ebc-d1787ad527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ca0b7-ad04-44a4-904a-d171f52b13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2c5899-478d-4689-af14-80570c5f1c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ac466e-05af-4c0e-8ebc-d1787ad5275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361bf74-448c-4012-a7fd-ef574c9b710d}" ma:internalName="TaxCatchAll" ma:showField="CatchAllData" ma:web="80ac466e-05af-4c0e-8ebc-d1787ad527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A073B5-717C-431B-837A-15493DCCF6EC}">
  <ds:schemaRefs>
    <ds:schemaRef ds:uri="http://schemas.microsoft.com/office/2006/metadata/properties"/>
    <ds:schemaRef ds:uri="http://schemas.microsoft.com/office/infopath/2007/PartnerControls"/>
    <ds:schemaRef ds:uri="80ac466e-05af-4c0e-8ebc-d1787ad52752"/>
    <ds:schemaRef ds:uri="a28ca0b7-ad04-44a4-904a-d171f52b132b"/>
  </ds:schemaRefs>
</ds:datastoreItem>
</file>

<file path=customXml/itemProps2.xml><?xml version="1.0" encoding="utf-8"?>
<ds:datastoreItem xmlns:ds="http://schemas.openxmlformats.org/officeDocument/2006/customXml" ds:itemID="{0094D7E6-A656-458E-84B9-3A3F08C7E6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AD8ECC-8319-4805-89F9-9F570F0712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8ca0b7-ad04-44a4-904a-d171f52b132b"/>
    <ds:schemaRef ds:uri="80ac466e-05af-4c0e-8ebc-d1787ad527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Walters, Jamie R</dc:creator>
  <cp:keywords/>
  <dc:description/>
  <cp:lastModifiedBy>Belton, Calvin Vincent</cp:lastModifiedBy>
  <cp:revision/>
  <dcterms:created xsi:type="dcterms:W3CDTF">2024-01-17T15:24:20Z</dcterms:created>
  <dcterms:modified xsi:type="dcterms:W3CDTF">2026-01-08T19:11:22Z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0x010100818761049B08244C895928375286221E</vt:lpwstr>
  </property>
  <property fmtid="{D5CDD505-2E9C-101B-9397-08002B2CF9AE}" pid="3" name="MediaServiceImageTags">
    <vt:lpwstr/>
  </property>
</Properties>
</file>